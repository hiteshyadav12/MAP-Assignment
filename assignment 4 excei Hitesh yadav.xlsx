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tes\OneDrive\Documents\"/>
    </mc:Choice>
  </mc:AlternateContent>
  <xr:revisionPtr revIDLastSave="0" documentId="13_ncr:1_{ED86373F-3D2B-4121-8133-45E31E11CFF0}" xr6:coauthVersionLast="47" xr6:coauthVersionMax="47" xr10:uidLastSave="{00000000-0000-0000-0000-000000000000}"/>
  <bookViews>
    <workbookView xWindow="-108" yWindow="-108" windowWidth="23256" windowHeight="12456" xr2:uid="{BC6240BA-F50A-4195-AA4E-763CE72119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8" i="1" l="1"/>
  <c r="L51" i="1"/>
  <c r="L50" i="1"/>
  <c r="L49" i="1"/>
  <c r="I35" i="1"/>
  <c r="I34" i="1"/>
  <c r="K25" i="1"/>
  <c r="K24" i="1"/>
  <c r="H26" i="1"/>
  <c r="H25" i="1"/>
  <c r="H24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5" i="1"/>
</calcChain>
</file>

<file path=xl/sharedStrings.xml><?xml version="1.0" encoding="utf-8"?>
<sst xmlns="http://schemas.openxmlformats.org/spreadsheetml/2006/main" count="88" uniqueCount="45">
  <si>
    <t xml:space="preserve">HR Analytics &amp; Workforce Performance </t>
  </si>
  <si>
    <t>Employee ID</t>
  </si>
  <si>
    <t xml:space="preserve">Department </t>
  </si>
  <si>
    <t xml:space="preserve">Year of Experience </t>
  </si>
  <si>
    <t>Monthly Salary</t>
  </si>
  <si>
    <t xml:space="preserve">Annual Salary </t>
  </si>
  <si>
    <t>Performance Rating(1-5)</t>
  </si>
  <si>
    <t xml:space="preserve">High performance </t>
  </si>
  <si>
    <t xml:space="preserve">Traning hours </t>
  </si>
  <si>
    <t>Attrition Risk (Yes \ No )</t>
  </si>
  <si>
    <t xml:space="preserve">E001 </t>
  </si>
  <si>
    <t>Sales</t>
  </si>
  <si>
    <t>YES</t>
  </si>
  <si>
    <t>No</t>
  </si>
  <si>
    <t>E002</t>
  </si>
  <si>
    <t>HR</t>
  </si>
  <si>
    <t>NO</t>
  </si>
  <si>
    <t>E003</t>
  </si>
  <si>
    <t>IT</t>
  </si>
  <si>
    <t>E004</t>
  </si>
  <si>
    <t>Yes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</si>
  <si>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</si>
  <si>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</si>
  <si>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</si>
  <si>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</si>
  <si>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</si>
  <si>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</si>
  <si>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</si>
  <si>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</si>
  <si>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</si>
  <si>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</si>
  <si>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</si>
  <si>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Annual Salary</t>
  </si>
  <si>
    <t>Average Preformance Rating</t>
  </si>
  <si>
    <t>Average Traning Hours</t>
  </si>
  <si>
    <t>High Preformer Flag</t>
  </si>
  <si>
    <t>HR Metrics Calculations</t>
  </si>
  <si>
    <t>HR Analysis</t>
  </si>
  <si>
    <t>COUNTIF()</t>
  </si>
  <si>
    <t>AVERAGEIF()</t>
  </si>
  <si>
    <t>VLOOKUP()</t>
  </si>
  <si>
    <t>XLOOKUP()</t>
  </si>
  <si>
    <t>pie chart</t>
  </si>
  <si>
    <t>Bar chart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</si>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</sst>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lgerian"/>
      <family val="5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6" borderId="1" xfId="0" applyFill="1" applyBorder="1"/>
    <xf numFmtId="0" fontId="0" fillId="7" borderId="0" xfId="0" applyFill="1"/>
    <xf numFmtId="0" fontId="0" fillId="9" borderId="3" xfId="0" applyFill="1" applyBorder="1"/>
    <xf numFmtId="0" fontId="0" fillId="9" borderId="1" xfId="0" applyFill="1" applyBorder="1"/>
    <xf numFmtId="0" fontId="0" fillId="11" borderId="3" xfId="0" applyFill="1" applyBorder="1"/>
    <xf numFmtId="0" fontId="0" fillId="11" borderId="1" xfId="0" applyFill="1" applyBorder="1"/>
    <xf numFmtId="0" fontId="0" fillId="13" borderId="1" xfId="0" applyFill="1" applyBorder="1"/>
    <xf numFmtId="0" fontId="5" fillId="3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/>
    </xf>
    <xf numFmtId="0" fontId="1" fillId="10" borderId="12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/>
    </xf>
    <xf numFmtId="0" fontId="0" fillId="13" borderId="1" xfId="0" applyFill="1" applyBorder="1"/>
    <xf numFmtId="0" fontId="0" fillId="9" borderId="3" xfId="0" applyFill="1" applyBorder="1"/>
    <xf numFmtId="0" fontId="0" fillId="9" borderId="1" xfId="0" applyFill="1" applyBorder="1"/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Table Style 1" pivot="0" count="0" xr9:uid="{804D0755-2B6B-4287-9B5A-CBB03ADD527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pie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E000-45BB-AF53-9D2004B51B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E000-45BB-AF53-9D2004B51BE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000-45BB-AF53-9D2004B51BE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E000-45BB-AF53-9D2004B51BE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Sheet1!$H$34:$H$35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Sheet1!$I$34:$I$35</c:f>
              <c:numCache>
                <c:formatCode>General</c:formatCode>
                <c:ptCount val="2"/>
                <c:pt idx="0">
                  <c:v>9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00-45BB-AF53-9D2004B51BE4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Bar</a:t>
            </a:r>
            <a:r>
              <a:rPr lang="en-IN" baseline="0"/>
              <a:t>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5761030581404598"/>
          <c:y val="0.26561831067946479"/>
          <c:w val="0.79666893801736316"/>
          <c:h val="0.39980052493438323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Sheet1!$J$48:$J$51</c:f>
              <c:strCache>
                <c:ptCount val="4"/>
                <c:pt idx="0">
                  <c:v>IT</c:v>
                </c:pt>
                <c:pt idx="1">
                  <c:v>Marketing</c:v>
                </c:pt>
                <c:pt idx="2">
                  <c:v>Sales</c:v>
                </c:pt>
                <c:pt idx="3">
                  <c:v>HR</c:v>
                </c:pt>
              </c:strCache>
            </c:strRef>
          </c:cat>
          <c:val>
            <c:numRef>
              <c:f>Sheet1!$K$48:$K$51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13D0-45DD-B93D-CAEC33EDE0D2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Sheet1!$J$48:$J$51</c:f>
              <c:strCache>
                <c:ptCount val="4"/>
                <c:pt idx="0">
                  <c:v>IT</c:v>
                </c:pt>
                <c:pt idx="1">
                  <c:v>Marketing</c:v>
                </c:pt>
                <c:pt idx="2">
                  <c:v>Sales</c:v>
                </c:pt>
                <c:pt idx="3">
                  <c:v>HR</c:v>
                </c:pt>
              </c:strCache>
            </c:strRef>
          </c:cat>
          <c:val>
            <c:numRef>
              <c:f>Sheet1!$L$48:$L$51</c:f>
              <c:numCache>
                <c:formatCode>General</c:formatCode>
                <c:ptCount val="4"/>
                <c:pt idx="0">
                  <c:v>2.5</c:v>
                </c:pt>
                <c:pt idx="1">
                  <c:v>4</c:v>
                </c:pt>
                <c:pt idx="2">
                  <c:v>3.6</c:v>
                </c:pt>
                <c:pt idx="3">
                  <c:v>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D0-45DD-B93D-CAEC33EDE0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26621887"/>
        <c:axId val="426626207"/>
      </c:barChart>
      <c:catAx>
        <c:axId val="426621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626207"/>
        <c:crosses val="autoZero"/>
        <c:auto val="1"/>
        <c:lblAlgn val="ctr"/>
        <c:lblOffset val="100"/>
        <c:noMultiLvlLbl val="0"/>
      </c:catAx>
      <c:valAx>
        <c:axId val="426626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6218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441960</xdr:colOff>
      <xdr:row>28</xdr:row>
      <xdr:rowOff>99060</xdr:rowOff>
    </xdr:from>
    <xdr:to>
      <xdr:col>6</xdr:col>
      <xdr:colOff>15240</xdr:colOff>
      <xdr:row>41</xdr:row>
      <xdr:rowOff>26670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DCEBCE-8ED0-DEBA-309B-E420940749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815340</xdr:colOff>
      <xdr:row>43</xdr:row>
      <xdr:rowOff>114300</xdr:rowOff>
    </xdr:from>
    <xdr:to>
      <xdr:col>7</xdr:col>
      <xdr:colOff>129540</xdr:colOff>
      <xdr:row>58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746A86F-EBE2-1815-6C8C-F431676C34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B460C-FA2E-46B1-98C7-30064AD8FE0A}">
  <dimension ref="B2:L51"/>
  <sheetViews>
    <sheetView tabSelected="1" workbookViewId="0">
      <selection activeCell="H5" sqref="H5"/>
    </sheetView>
  </sheetViews>
  <sheetFormatPr defaultRowHeight="14.4" x14ac:dyDescent="0.3"/>
  <cols>
    <col min="2" max="2" width="13.21875" customWidth="1"/>
    <col min="3" max="3" width="11.88671875" customWidth="1"/>
    <col min="4" max="4" width="17.33203125" customWidth="1"/>
    <col min="5" max="5" width="15.33203125" customWidth="1"/>
    <col min="6" max="6" width="13.109375" customWidth="1"/>
    <col min="7" max="7" width="22.88671875" customWidth="1"/>
    <col min="8" max="8" width="17.6640625" customWidth="1"/>
    <col min="9" max="9" width="13.77734375" customWidth="1"/>
    <col min="10" max="10" width="22.44140625" customWidth="1"/>
  </cols>
  <sheetData>
    <row r="2" spans="2:11" ht="31.2" x14ac:dyDescent="0.6">
      <c r="B2" s="30" t="s">
        <v>0</v>
      </c>
      <c r="C2" s="30"/>
      <c r="D2" s="30"/>
      <c r="E2" s="30"/>
      <c r="F2" s="30"/>
      <c r="G2" s="30"/>
      <c r="H2" s="30"/>
      <c r="I2" s="30"/>
      <c r="J2" s="30"/>
      <c r="K2" s="30"/>
    </row>
    <row r="4" spans="2:11" ht="15.6" x14ac:dyDescent="0.3">
      <c r="B4" s="9" t="s">
        <v>1</v>
      </c>
      <c r="C4" s="10" t="s">
        <v>2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1" t="s">
        <v>9</v>
      </c>
    </row>
    <row r="5" spans="2:11" ht="15.6" x14ac:dyDescent="0.3">
      <c r="B5" s="12" t="s">
        <v>10</v>
      </c>
      <c r="C5" s="13" t="s">
        <v>11</v>
      </c>
      <c r="D5" s="13">
        <v>3</v>
      </c>
      <c r="E5" s="13">
        <v>5000</v>
      </c>
      <c r="F5" s="13">
        <f>E5*12</f>
        <v>60000</v>
      </c>
      <c r="G5" s="13">
        <v>4</v>
      </c>
      <c r="H5" s="13" t="s">
        <v>12</v>
      </c>
      <c r="I5" s="13">
        <v>12</v>
      </c>
      <c r="J5" s="14" t="s">
        <v>20</v>
      </c>
    </row>
    <row r="6" spans="2:11" ht="15.6" x14ac:dyDescent="0.3">
      <c r="B6" s="15" t="s">
        <v>14</v>
      </c>
      <c r="C6" s="8" t="s">
        <v>15</v>
      </c>
      <c r="D6" s="8">
        <v>5</v>
      </c>
      <c r="E6" s="8">
        <v>6000</v>
      </c>
      <c r="F6" s="8">
        <f t="shared" ref="F6:F19" si="0">E6*12</f>
        <v>72000</v>
      </c>
      <c r="G6" s="8">
        <v>3</v>
      </c>
      <c r="H6" s="8" t="s">
        <v>16</v>
      </c>
      <c r="I6" s="8">
        <v>15</v>
      </c>
      <c r="J6" s="16" t="s">
        <v>20</v>
      </c>
    </row>
    <row r="7" spans="2:11" ht="15.6" x14ac:dyDescent="0.3">
      <c r="B7" s="12" t="s">
        <v>17</v>
      </c>
      <c r="C7" s="13" t="s">
        <v>44</v>
      </c>
      <c r="D7" s="13">
        <v>2</v>
      </c>
      <c r="E7" s="13">
        <v>4500</v>
      </c>
      <c r="F7" s="13">
        <f t="shared" si="0"/>
        <v>54000</v>
      </c>
      <c r="G7" s="13">
        <v>5</v>
      </c>
      <c r="H7" s="13" t="s">
        <v>12</v>
      </c>
      <c r="I7" s="13">
        <v>20</v>
      </c>
      <c r="J7" s="14" t="s">
        <v>13</v>
      </c>
    </row>
    <row r="8" spans="2:11" ht="15.6" x14ac:dyDescent="0.3">
      <c r="B8" s="15" t="s">
        <v>19</v>
      </c>
      <c r="C8" s="8" t="s">
        <v>11</v>
      </c>
      <c r="D8" s="8">
        <v>8</v>
      </c>
      <c r="E8" s="8">
        <v>7500</v>
      </c>
      <c r="F8" s="8">
        <f t="shared" si="0"/>
        <v>90000</v>
      </c>
      <c r="G8" s="8">
        <v>2</v>
      </c>
      <c r="H8" s="8" t="s">
        <v>16</v>
      </c>
      <c r="I8" s="8">
        <v>8</v>
      </c>
      <c r="J8" s="16" t="s">
        <v>20</v>
      </c>
    </row>
    <row r="9" spans="2:11" ht="15.6" x14ac:dyDescent="0.3">
      <c r="B9" s="12" t="s">
        <v>21</v>
      </c>
      <c r="C9" s="13" t="s">
        <v>44</v>
      </c>
      <c r="D9" s="13">
        <v>1</v>
      </c>
      <c r="E9" s="13">
        <v>3500</v>
      </c>
      <c r="F9" s="13">
        <f t="shared" si="0"/>
        <v>42000</v>
      </c>
      <c r="G9" s="13">
        <v>4</v>
      </c>
      <c r="H9" s="13" t="s">
        <v>12</v>
      </c>
      <c r="I9" s="13">
        <v>18</v>
      </c>
      <c r="J9" s="14" t="s">
        <v>13</v>
      </c>
    </row>
    <row r="10" spans="2:11" ht="15.6" x14ac:dyDescent="0.3">
      <c r="B10" s="15" t="s">
        <v>22</v>
      </c>
      <c r="C10" s="8" t="s">
        <v>18</v>
      </c>
      <c r="D10" s="8">
        <v>10</v>
      </c>
      <c r="E10" s="8">
        <v>9000</v>
      </c>
      <c r="F10" s="8">
        <f t="shared" si="0"/>
        <v>108000</v>
      </c>
      <c r="G10" s="8">
        <v>1</v>
      </c>
      <c r="H10" s="8" t="s">
        <v>16</v>
      </c>
      <c r="I10" s="8">
        <v>5</v>
      </c>
      <c r="J10" s="16" t="s">
        <v>20</v>
      </c>
    </row>
    <row r="11" spans="2:11" ht="15.6" x14ac:dyDescent="0.3">
      <c r="B11" s="12" t="s">
        <v>23</v>
      </c>
      <c r="C11" s="13" t="s">
        <v>44</v>
      </c>
      <c r="D11" s="13">
        <v>4</v>
      </c>
      <c r="E11" s="13">
        <v>5500</v>
      </c>
      <c r="F11" s="13">
        <f t="shared" si="0"/>
        <v>66000</v>
      </c>
      <c r="G11" s="13">
        <v>3</v>
      </c>
      <c r="H11" s="13" t="s">
        <v>16</v>
      </c>
      <c r="I11" s="13">
        <v>10</v>
      </c>
      <c r="J11" s="14" t="s">
        <v>13</v>
      </c>
    </row>
    <row r="12" spans="2:11" ht="15.6" x14ac:dyDescent="0.3">
      <c r="B12" s="15" t="s">
        <v>24</v>
      </c>
      <c r="C12" s="8" t="s">
        <v>15</v>
      </c>
      <c r="D12" s="8">
        <v>6</v>
      </c>
      <c r="E12" s="8">
        <v>6500</v>
      </c>
      <c r="F12" s="8">
        <f t="shared" si="0"/>
        <v>78000</v>
      </c>
      <c r="G12" s="8">
        <v>5</v>
      </c>
      <c r="H12" s="8" t="s">
        <v>12</v>
      </c>
      <c r="I12" s="8">
        <v>15</v>
      </c>
      <c r="J12" s="16" t="s">
        <v>20</v>
      </c>
    </row>
    <row r="13" spans="2:11" ht="15.6" x14ac:dyDescent="0.3">
      <c r="B13" s="12" t="s">
        <v>25</v>
      </c>
      <c r="C13" s="13" t="s">
        <v>18</v>
      </c>
      <c r="D13" s="13">
        <v>3</v>
      </c>
      <c r="E13" s="13">
        <v>4800</v>
      </c>
      <c r="F13" s="13">
        <f t="shared" si="0"/>
        <v>57600</v>
      </c>
      <c r="G13" s="13">
        <v>4</v>
      </c>
      <c r="H13" s="13" t="s">
        <v>12</v>
      </c>
      <c r="I13" s="13">
        <v>14</v>
      </c>
      <c r="J13" s="14" t="s">
        <v>13</v>
      </c>
    </row>
    <row r="14" spans="2:11" ht="15.6" x14ac:dyDescent="0.3">
      <c r="B14" s="15" t="s">
        <v>26</v>
      </c>
      <c r="C14" s="8" t="s">
        <v>11</v>
      </c>
      <c r="D14" s="8">
        <v>7</v>
      </c>
      <c r="E14" s="8">
        <v>7000</v>
      </c>
      <c r="F14" s="8">
        <f t="shared" si="0"/>
        <v>84000</v>
      </c>
      <c r="G14" s="8">
        <v>3</v>
      </c>
      <c r="H14" s="8" t="s">
        <v>16</v>
      </c>
      <c r="I14" s="8">
        <v>9</v>
      </c>
      <c r="J14" s="16" t="s">
        <v>20</v>
      </c>
    </row>
    <row r="15" spans="2:11" ht="15.6" x14ac:dyDescent="0.3">
      <c r="B15" s="12" t="s">
        <v>27</v>
      </c>
      <c r="C15" s="13" t="s">
        <v>15</v>
      </c>
      <c r="D15" s="13">
        <v>2</v>
      </c>
      <c r="E15" s="13">
        <v>4000</v>
      </c>
      <c r="F15" s="13">
        <f t="shared" si="0"/>
        <v>48000</v>
      </c>
      <c r="G15" s="13">
        <v>2</v>
      </c>
      <c r="H15" s="13" t="s">
        <v>16</v>
      </c>
      <c r="I15" s="13">
        <v>11</v>
      </c>
      <c r="J15" s="14" t="s">
        <v>20</v>
      </c>
    </row>
    <row r="16" spans="2:11" ht="15.6" x14ac:dyDescent="0.3">
      <c r="B16" s="15" t="s">
        <v>28</v>
      </c>
      <c r="C16" s="8" t="s">
        <v>44</v>
      </c>
      <c r="D16" s="8">
        <v>5</v>
      </c>
      <c r="E16" s="8">
        <v>5500</v>
      </c>
      <c r="F16" s="8">
        <f t="shared" si="0"/>
        <v>66000</v>
      </c>
      <c r="G16" s="8">
        <v>4</v>
      </c>
      <c r="H16" s="8" t="s">
        <v>12</v>
      </c>
      <c r="I16" s="8">
        <v>16</v>
      </c>
      <c r="J16" s="16" t="s">
        <v>13</v>
      </c>
    </row>
    <row r="17" spans="2:11" ht="15.6" x14ac:dyDescent="0.3">
      <c r="B17" s="12" t="s">
        <v>29</v>
      </c>
      <c r="C17" s="13" t="s">
        <v>11</v>
      </c>
      <c r="D17" s="13">
        <v>9</v>
      </c>
      <c r="E17" s="13">
        <v>8000</v>
      </c>
      <c r="F17" s="13">
        <f t="shared" si="0"/>
        <v>96000</v>
      </c>
      <c r="G17" s="13">
        <v>5</v>
      </c>
      <c r="H17" s="13" t="s">
        <v>12</v>
      </c>
      <c r="I17" s="13">
        <v>22</v>
      </c>
      <c r="J17" s="14" t="s">
        <v>20</v>
      </c>
    </row>
    <row r="18" spans="2:11" ht="15.6" x14ac:dyDescent="0.3">
      <c r="B18" s="15" t="s">
        <v>30</v>
      </c>
      <c r="C18" s="8" t="s">
        <v>15</v>
      </c>
      <c r="D18" s="8">
        <v>4</v>
      </c>
      <c r="E18" s="8">
        <v>5200</v>
      </c>
      <c r="F18" s="8">
        <f t="shared" si="0"/>
        <v>62400</v>
      </c>
      <c r="G18" s="8">
        <v>3</v>
      </c>
      <c r="H18" s="8" t="s">
        <v>16</v>
      </c>
      <c r="I18" s="8">
        <v>13</v>
      </c>
      <c r="J18" s="16" t="s">
        <v>13</v>
      </c>
    </row>
    <row r="19" spans="2:11" ht="15.6" x14ac:dyDescent="0.3">
      <c r="B19" s="17" t="s">
        <v>31</v>
      </c>
      <c r="C19" s="18" t="s">
        <v>11</v>
      </c>
      <c r="D19" s="18">
        <v>6</v>
      </c>
      <c r="E19" s="18">
        <v>6200</v>
      </c>
      <c r="F19" s="13">
        <f t="shared" si="0"/>
        <v>74400</v>
      </c>
      <c r="G19" s="18">
        <v>4</v>
      </c>
      <c r="H19" s="18" t="s">
        <v>12</v>
      </c>
      <c r="I19" s="18">
        <v>17</v>
      </c>
      <c r="J19" s="19" t="s">
        <v>20</v>
      </c>
    </row>
    <row r="20" spans="2:11" ht="15.6" x14ac:dyDescent="0.3">
      <c r="B20" s="15"/>
      <c r="C20" s="8"/>
      <c r="D20" s="8"/>
      <c r="E20" s="8"/>
      <c r="F20" s="8"/>
      <c r="G20" s="8"/>
      <c r="H20" s="8"/>
      <c r="I20" s="8"/>
      <c r="J20" s="16"/>
    </row>
    <row r="22" spans="2:11" ht="15" thickBot="1" x14ac:dyDescent="0.35"/>
    <row r="23" spans="2:11" ht="16.2" thickBot="1" x14ac:dyDescent="0.35">
      <c r="F23" s="20" t="s">
        <v>36</v>
      </c>
      <c r="G23" s="21"/>
      <c r="H23" s="22"/>
      <c r="J23" s="23" t="s">
        <v>37</v>
      </c>
      <c r="K23" s="24"/>
    </row>
    <row r="24" spans="2:11" x14ac:dyDescent="0.3">
      <c r="F24" s="28" t="s">
        <v>32</v>
      </c>
      <c r="G24" s="28"/>
      <c r="H24" s="3">
        <f>SUM(F5:F19)</f>
        <v>1058400</v>
      </c>
      <c r="J24" s="5" t="s">
        <v>38</v>
      </c>
      <c r="K24" s="5">
        <f>COUNTIF(G5:G19,G6)</f>
        <v>4</v>
      </c>
    </row>
    <row r="25" spans="2:11" x14ac:dyDescent="0.3">
      <c r="F25" s="29" t="s">
        <v>33</v>
      </c>
      <c r="G25" s="29"/>
      <c r="H25" s="4">
        <f>AVERAGE(G5:G19)</f>
        <v>3.4666666666666668</v>
      </c>
      <c r="J25" s="6" t="s">
        <v>39</v>
      </c>
      <c r="K25" s="6">
        <f>AVERAGEIF(C5:C19,C5,E5:E19)</f>
        <v>6740</v>
      </c>
    </row>
    <row r="26" spans="2:11" x14ac:dyDescent="0.3">
      <c r="F26" s="29" t="s">
        <v>34</v>
      </c>
      <c r="G26" s="29"/>
      <c r="H26" s="4">
        <f>AVERAGE(I5:I19)</f>
        <v>13.666666666666666</v>
      </c>
      <c r="J26" s="6" t="s">
        <v>40</v>
      </c>
      <c r="K26" s="6"/>
    </row>
    <row r="27" spans="2:11" x14ac:dyDescent="0.3">
      <c r="F27" s="29" t="s">
        <v>35</v>
      </c>
      <c r="G27" s="29"/>
      <c r="H27" s="4"/>
      <c r="J27" s="6" t="s">
        <v>41</v>
      </c>
      <c r="K27" s="6"/>
    </row>
    <row r="28" spans="2:11" x14ac:dyDescent="0.3">
      <c r="K28" s="2"/>
    </row>
    <row r="32" spans="2:11" x14ac:dyDescent="0.3">
      <c r="H32">
        <v>0</v>
      </c>
    </row>
    <row r="33" spans="8:12" ht="15.6" x14ac:dyDescent="0.3">
      <c r="H33" s="25" t="s">
        <v>42</v>
      </c>
      <c r="I33" s="25"/>
    </row>
    <row r="34" spans="8:12" x14ac:dyDescent="0.3">
      <c r="H34" s="1" t="s">
        <v>20</v>
      </c>
      <c r="I34" s="1">
        <f>COUNTIF(J5:J19,J6)</f>
        <v>9</v>
      </c>
    </row>
    <row r="35" spans="8:12" x14ac:dyDescent="0.3">
      <c r="H35" s="1" t="s">
        <v>13</v>
      </c>
      <c r="I35" s="1">
        <f>COUNTIF(J5:J19,J7)</f>
        <v>6</v>
      </c>
    </row>
    <row r="47" spans="8:12" ht="15.6" x14ac:dyDescent="0.3">
      <c r="J47" s="26" t="s">
        <v>43</v>
      </c>
      <c r="K47" s="26"/>
      <c r="L47" s="26"/>
    </row>
    <row r="48" spans="8:12" x14ac:dyDescent="0.3">
      <c r="J48" s="27" t="s">
        <v>18</v>
      </c>
      <c r="K48" s="27"/>
      <c r="L48" s="7">
        <f>AVERAGEIF(C5:C19,C10,G5:G19)</f>
        <v>2.5</v>
      </c>
    </row>
    <row r="49" spans="10:12" x14ac:dyDescent="0.3">
      <c r="J49" s="27" t="s">
        <v>44</v>
      </c>
      <c r="K49" s="27"/>
      <c r="L49" s="7">
        <f>AVERAGEIF(C5:C19,C7,G5:G19)</f>
        <v>4</v>
      </c>
    </row>
    <row r="50" spans="10:12" x14ac:dyDescent="0.3">
      <c r="J50" s="27" t="s">
        <v>11</v>
      </c>
      <c r="K50" s="27"/>
      <c r="L50" s="7">
        <f>AVERAGEIF(C5:C19,C5,G5:G19)</f>
        <v>3.6</v>
      </c>
    </row>
    <row r="51" spans="10:12" x14ac:dyDescent="0.3">
      <c r="J51" s="7" t="s">
        <v>15</v>
      </c>
      <c r="K51" s="7"/>
      <c r="L51" s="7">
        <f>AVERAGEIF(C5:C19,C6,G5:G19)</f>
        <v>3.25</v>
      </c>
    </row>
  </sheetData>
  <mergeCells count="12">
    <mergeCell ref="B2:K2"/>
    <mergeCell ref="J49:K49"/>
    <mergeCell ref="J50:K50"/>
    <mergeCell ref="F24:G24"/>
    <mergeCell ref="F25:G25"/>
    <mergeCell ref="F26:G26"/>
    <mergeCell ref="F27:G27"/>
    <mergeCell ref="F23:H23"/>
    <mergeCell ref="J23:K23"/>
    <mergeCell ref="H33:I33"/>
    <mergeCell ref="J47:L47"/>
    <mergeCell ref="J48:K48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Yadav</dc:creator>
  <cp:lastModifiedBy>Hitesh Yadav</cp:lastModifiedBy>
  <dcterms:created xsi:type="dcterms:W3CDTF">2026-02-07T23:22:38Z</dcterms:created>
  <dcterms:modified xsi:type="dcterms:W3CDTF">2026-02-18T00:24:39Z</dcterms:modified>
</cp:coreProperties>
</file>