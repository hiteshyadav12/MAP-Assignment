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hites\OneDrive\Documents\"/>
    </mc:Choice>
  </mc:AlternateContent>
  <xr:revisionPtr revIDLastSave="0" documentId="8_{3B135735-A444-41E6-9BCA-59B5887468A4}" xr6:coauthVersionLast="47" xr6:coauthVersionMax="47" xr10:uidLastSave="{00000000-0000-0000-0000-000000000000}"/>
  <bookViews>
    <workbookView xWindow="-108" yWindow="-108" windowWidth="23256" windowHeight="12456" activeTab="1" xr2:uid="{DBED178F-97FD-434E-9C73-F5909B65D5FB}"/>
  </bookViews>
  <sheets>
    <sheet name="Sheet2" sheetId="2" r:id="rId1"/>
    <sheet name="Sheet1" sheetId="1" r:id="rId2"/>
  </sheets>
  <calcPr calcId="191029"/>
  <pivotCaches>
    <pivotCache cacheId="1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" l="1"/>
  <c r="F28" i="1"/>
  <c r="F26" i="1"/>
</calcChain>
</file>

<file path=xl/sharedStrings.xml><?xml version="1.0" encoding="utf-8"?>
<sst xmlns="http://schemas.openxmlformats.org/spreadsheetml/2006/main" count="201" uniqueCount="67">
  <si>
    <t>Respondent ID</t>
  </si>
  <si>
    <t>Age Group</t>
  </si>
  <si>
    <t>Gender</t>
  </si>
  <si>
    <t>City</t>
  </si>
  <si>
    <t>Product Awareness</t>
  </si>
  <si>
    <t>Purchase Frequency</t>
  </si>
  <si>
    <t>Satisfaction Rating</t>
  </si>
  <si>
    <t>Recommend</t>
  </si>
  <si>
    <t>R001</t>
  </si>
  <si>
    <t>18-25</t>
  </si>
  <si>
    <t>Female</t>
  </si>
  <si>
    <t>Metro</t>
  </si>
  <si>
    <t>Yes</t>
  </si>
  <si>
    <t>Rare</t>
  </si>
  <si>
    <t>R002</t>
  </si>
  <si>
    <t>26-35</t>
  </si>
  <si>
    <t>Male</t>
  </si>
  <si>
    <t>No</t>
  </si>
  <si>
    <t>R003</t>
  </si>
  <si>
    <t>36-45</t>
  </si>
  <si>
    <t>Occupational</t>
  </si>
  <si>
    <t>R004</t>
  </si>
  <si>
    <t>46-55</t>
  </si>
  <si>
    <t>R005</t>
  </si>
  <si>
    <t>56-65</t>
  </si>
  <si>
    <t>Non-Metro</t>
  </si>
  <si>
    <t>Frequent</t>
  </si>
  <si>
    <t>R006</t>
  </si>
  <si>
    <t>66-75</t>
  </si>
  <si>
    <t>R007</t>
  </si>
  <si>
    <t>76-85</t>
  </si>
  <si>
    <t>R008</t>
  </si>
  <si>
    <t>86-95</t>
  </si>
  <si>
    <t>R009</t>
  </si>
  <si>
    <t>96-105</t>
  </si>
  <si>
    <t>R010</t>
  </si>
  <si>
    <t>106-115</t>
  </si>
  <si>
    <t>R011</t>
  </si>
  <si>
    <t>116-125</t>
  </si>
  <si>
    <t>R012</t>
  </si>
  <si>
    <t>126-135</t>
  </si>
  <si>
    <t>R013</t>
  </si>
  <si>
    <t>136-145</t>
  </si>
  <si>
    <t>R014</t>
  </si>
  <si>
    <t>146-155</t>
  </si>
  <si>
    <t>R015</t>
  </si>
  <si>
    <t>156-165</t>
  </si>
  <si>
    <t>R016</t>
  </si>
  <si>
    <t>166-175</t>
  </si>
  <si>
    <t>R017</t>
  </si>
  <si>
    <t>176-185</t>
  </si>
  <si>
    <t>R018</t>
  </si>
  <si>
    <t>186-195</t>
  </si>
  <si>
    <t>R019</t>
  </si>
  <si>
    <t>196-205</t>
  </si>
  <si>
    <t>R020</t>
  </si>
  <si>
    <t>206-210</t>
  </si>
  <si>
    <t>LOGICAL &amp; PERCENTAGE ANALYSIS</t>
  </si>
  <si>
    <t>2. Percentage of Satisfied Customers (Rating &gt;4)</t>
  </si>
  <si>
    <t>4. Frequent Buyers Count</t>
  </si>
  <si>
    <t>Customer Satisfaction Survey – XYZ Consumer Brand</t>
  </si>
  <si>
    <t>.</t>
  </si>
  <si>
    <r>
      <t xml:space="preserve">1. Percentage of Customer Aware ( </t>
    </r>
    <r>
      <rPr>
        <b/>
        <sz val="14"/>
        <color rgb="FF3F3F3F"/>
        <rFont val="Aptos Narrow"/>
        <family val="2"/>
        <scheme val="minor"/>
      </rPr>
      <t>countif )</t>
    </r>
  </si>
  <si>
    <r>
      <t>3. Recommendation Rate (%Yes) (</t>
    </r>
    <r>
      <rPr>
        <b/>
        <sz val="16"/>
        <color rgb="FF3F3F3F"/>
        <rFont val="Aptos Narrow"/>
        <family val="2"/>
        <scheme val="minor"/>
      </rPr>
      <t>countif)</t>
    </r>
  </si>
  <si>
    <t>Row Labels</t>
  </si>
  <si>
    <t>Grand Total</t>
  </si>
  <si>
    <t>Sum of Satisfaction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</si>
</sst>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8"/>
      <color theme="0"/>
      <name val="Arial Black"/>
      <family val="2"/>
    </font>
    <font>
      <sz val="16"/>
      <color theme="0"/>
      <name val="Arial Black"/>
      <family val="2"/>
    </font>
    <font>
      <b/>
      <sz val="14"/>
      <color rgb="FF3F3F3F"/>
      <name val="Aptos Narrow"/>
      <family val="2"/>
      <scheme val="minor"/>
    </font>
    <font>
      <b/>
      <sz val="16"/>
      <color rgb="FF3F3F3F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7">
    <xf numFmtId="0" fontId="0" fillId="0" borderId="0" xfId="0"/>
    <xf numFmtId="0" fontId="1" fillId="5" borderId="2" xfId="1" applyFill="1" applyBorder="1"/>
    <xf numFmtId="0" fontId="3" fillId="3" borderId="2" xfId="0" applyFont="1" applyFill="1" applyBorder="1" applyAlignment="1">
      <alignment horizontal="center"/>
    </xf>
    <xf numFmtId="0" fontId="2" fillId="4" borderId="2" xfId="0" applyFont="1" applyFill="1" applyBorder="1"/>
    <xf numFmtId="0" fontId="1" fillId="5" borderId="2" xfId="1" applyFill="1" applyBorder="1" applyAlignment="1"/>
    <xf numFmtId="0" fontId="1" fillId="5" borderId="1" xfId="1" applyFill="1"/>
    <xf numFmtId="0" fontId="4" fillId="3" borderId="2" xfId="0" applyFont="1" applyFill="1" applyBorder="1" applyAlignment="1">
      <alignment horizontal="center"/>
    </xf>
    <xf numFmtId="0" fontId="1" fillId="5" borderId="2" xfId="1" applyFill="1" applyBorder="1" applyAlignment="1">
      <alignment horizontal="left"/>
    </xf>
    <xf numFmtId="0" fontId="1" fillId="5" borderId="2" xfId="1" applyFill="1" applyBorder="1" applyAlignment="1">
      <alignment horizontal="left"/>
    </xf>
    <xf numFmtId="0" fontId="0" fillId="0" borderId="0" xfId="0"/>
    <xf numFmtId="0" fontId="1" fillId="5" borderId="3" xfId="1" applyFill="1" applyBorder="1" applyAlignment="1">
      <alignment horizontal="left"/>
    </xf>
    <xf numFmtId="0" fontId="1" fillId="5" borderId="4" xfId="1" applyFill="1" applyBorder="1" applyAlignment="1">
      <alignment horizontal="left"/>
    </xf>
    <xf numFmtId="0" fontId="1" fillId="5" borderId="5" xfId="1" applyFill="1" applyBorder="1" applyAlignment="1">
      <alignment horizontal="left"/>
    </xf>
    <xf numFmtId="0" fontId="7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2 Hitesh yadav excel.xlsx]Sheet1!PivotTable2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Sheet1!$K$2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Sheet1!$J$3:$J$23</c:f>
              <c:strCache>
                <c:ptCount val="20"/>
                <c:pt idx="0">
                  <c:v>106-115</c:v>
                </c:pt>
                <c:pt idx="1">
                  <c:v>116-125</c:v>
                </c:pt>
                <c:pt idx="2">
                  <c:v>126-135</c:v>
                </c:pt>
                <c:pt idx="3">
                  <c:v>136-145</c:v>
                </c:pt>
                <c:pt idx="4">
                  <c:v>146-155</c:v>
                </c:pt>
                <c:pt idx="5">
                  <c:v>156-165</c:v>
                </c:pt>
                <c:pt idx="6">
                  <c:v>166-175</c:v>
                </c:pt>
                <c:pt idx="7">
                  <c:v>176-185</c:v>
                </c:pt>
                <c:pt idx="8">
                  <c:v>18-25</c:v>
                </c:pt>
                <c:pt idx="9">
                  <c:v>186-195</c:v>
                </c:pt>
                <c:pt idx="10">
                  <c:v>196-205</c:v>
                </c:pt>
                <c:pt idx="11">
                  <c:v>206-210</c:v>
                </c:pt>
                <c:pt idx="12">
                  <c:v>26-35</c:v>
                </c:pt>
                <c:pt idx="13">
                  <c:v>36-45</c:v>
                </c:pt>
                <c:pt idx="14">
                  <c:v>46-55</c:v>
                </c:pt>
                <c:pt idx="15">
                  <c:v>56-65</c:v>
                </c:pt>
                <c:pt idx="16">
                  <c:v>66-75</c:v>
                </c:pt>
                <c:pt idx="17">
                  <c:v>76-85</c:v>
                </c:pt>
                <c:pt idx="18">
                  <c:v>86-95</c:v>
                </c:pt>
                <c:pt idx="19">
                  <c:v>96-105</c:v>
                </c:pt>
              </c:strCache>
            </c:strRef>
          </c:cat>
          <c:val>
            <c:numRef>
              <c:f>Sheet1!$K$3:$K$23</c:f>
              <c:numCache>
                <c:formatCode>General</c:formatCode>
                <c:ptCount val="20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4</c:v>
                </c:pt>
                <c:pt idx="12">
                  <c:v>4</c:v>
                </c:pt>
                <c:pt idx="13">
                  <c:v>5</c:v>
                </c:pt>
                <c:pt idx="14">
                  <c:v>3</c:v>
                </c:pt>
                <c:pt idx="15">
                  <c:v>3</c:v>
                </c:pt>
                <c:pt idx="16">
                  <c:v>5</c:v>
                </c:pt>
                <c:pt idx="17">
                  <c:v>5</c:v>
                </c:pt>
                <c:pt idx="18">
                  <c:v>4</c:v>
                </c:pt>
                <c:pt idx="1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31-435C-9BF8-32DCBBD5F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085548864"/>
        <c:axId val="1085549344"/>
        <c:axId val="0"/>
      </c:bar3DChart>
      <c:catAx>
        <c:axId val="108554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549344"/>
        <c:crosses val="autoZero"/>
        <c:auto val="1"/>
        <c:lblAlgn val="ctr"/>
        <c:lblOffset val="100"/>
        <c:noMultiLvlLbl val="0"/>
      </c:catAx>
      <c:valAx>
        <c:axId val="108554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548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2 Hitesh yadav excel.xlsx]Sheet1!PivotTable2</c:name>
    <c:fmtId val="15"/>
  </c:pivotSource>
  <c:chart>
    <c:title>
      <c:layout>
        <c:manualLayout>
          <c:xMode val="edge"/>
          <c:yMode val="edge"/>
          <c:x val="0.47885486713795816"/>
          <c:y val="5.58780517398828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5263664578424046E-2"/>
          <c:y val="0.16116156100925341"/>
          <c:w val="0.7902734033245844"/>
          <c:h val="0.67446959755030622"/>
        </c:manualLayout>
      </c:layout>
      <c:pie3DChart>
        <c:varyColors val="1"/>
        <c:ser>
          <c:idx val="0"/>
          <c:order val="0"/>
          <c:tx>
            <c:strRef>
              <c:f>Sheet1!$K$2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4-F135-44C9-8CDE-3CDC962181E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F135-44C9-8CDE-3CDC962181E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F135-44C9-8CDE-3CDC962181E2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F135-44C9-8CDE-3CDC962181E2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6-F135-44C9-8CDE-3CDC962181E2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F135-44C9-8CDE-3CDC962181E2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F135-44C9-8CDE-3CDC962181E2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8-F135-44C9-8CDE-3CDC962181E2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A-F135-44C9-8CDE-3CDC962181E2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F135-44C9-8CDE-3CDC962181E2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C-F135-44C9-8CDE-3CDC962181E2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D-F135-44C9-8CDE-3CDC962181E2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E-F135-44C9-8CDE-3CDC962181E2}"/>
              </c:ext>
            </c:extLst>
          </c:dPt>
          <c:cat>
            <c:strRef>
              <c:f>Sheet1!$J$3:$J$23</c:f>
              <c:strCache>
                <c:ptCount val="20"/>
                <c:pt idx="0">
                  <c:v>106-115</c:v>
                </c:pt>
                <c:pt idx="1">
                  <c:v>116-125</c:v>
                </c:pt>
                <c:pt idx="2">
                  <c:v>126-135</c:v>
                </c:pt>
                <c:pt idx="3">
                  <c:v>136-145</c:v>
                </c:pt>
                <c:pt idx="4">
                  <c:v>146-155</c:v>
                </c:pt>
                <c:pt idx="5">
                  <c:v>156-165</c:v>
                </c:pt>
                <c:pt idx="6">
                  <c:v>166-175</c:v>
                </c:pt>
                <c:pt idx="7">
                  <c:v>176-185</c:v>
                </c:pt>
                <c:pt idx="8">
                  <c:v>18-25</c:v>
                </c:pt>
                <c:pt idx="9">
                  <c:v>186-195</c:v>
                </c:pt>
                <c:pt idx="10">
                  <c:v>196-205</c:v>
                </c:pt>
                <c:pt idx="11">
                  <c:v>206-210</c:v>
                </c:pt>
                <c:pt idx="12">
                  <c:v>26-35</c:v>
                </c:pt>
                <c:pt idx="13">
                  <c:v>36-45</c:v>
                </c:pt>
                <c:pt idx="14">
                  <c:v>46-55</c:v>
                </c:pt>
                <c:pt idx="15">
                  <c:v>56-65</c:v>
                </c:pt>
                <c:pt idx="16">
                  <c:v>66-75</c:v>
                </c:pt>
                <c:pt idx="17">
                  <c:v>76-85</c:v>
                </c:pt>
                <c:pt idx="18">
                  <c:v>86-95</c:v>
                </c:pt>
                <c:pt idx="19">
                  <c:v>96-105</c:v>
                </c:pt>
              </c:strCache>
            </c:strRef>
          </c:cat>
          <c:val>
            <c:numRef>
              <c:f>Sheet1!$K$3:$K$23</c:f>
              <c:numCache>
                <c:formatCode>General</c:formatCode>
                <c:ptCount val="20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4</c:v>
                </c:pt>
                <c:pt idx="12">
                  <c:v>4</c:v>
                </c:pt>
                <c:pt idx="13">
                  <c:v>5</c:v>
                </c:pt>
                <c:pt idx="14">
                  <c:v>3</c:v>
                </c:pt>
                <c:pt idx="15">
                  <c:v>3</c:v>
                </c:pt>
                <c:pt idx="16">
                  <c:v>5</c:v>
                </c:pt>
                <c:pt idx="17">
                  <c:v>5</c:v>
                </c:pt>
                <c:pt idx="18">
                  <c:v>4</c:v>
                </c:pt>
                <c:pt idx="1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35-44C9-8CDE-3CDC962181E2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441960</xdr:colOff>
      <xdr:row>24</xdr:row>
      <xdr:rowOff>232410</xdr:rowOff>
    </xdr:from>
    <xdr:to>
      <xdr:col>10</xdr:col>
      <xdr:colOff>1303020</xdr:colOff>
      <xdr:row>37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58CDB0-6F9C-08AE-05D3-F15AC9294F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441960</xdr:colOff>
      <xdr:row>32</xdr:row>
      <xdr:rowOff>38100</xdr:rowOff>
    </xdr:from>
    <xdr:to>
      <xdr:col>5</xdr:col>
      <xdr:colOff>868680</xdr:colOff>
      <xdr:row>49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9478290-E846-69A6-2771-0BB440475C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tesh Yadav" refreshedDate="46071.458069675929" createdVersion="8" refreshedVersion="8" minRefreshableVersion="3" recordCount="20" xr:uid="{EF172D3C-8CE5-4943-BDD2-B9207AEBCFE7}">
  <cacheSource type="worksheet">
    <worksheetSource ref="A2:H22" sheet="Sheet1"/>
  </cacheSource>
  <cacheFields count="8">
    <cacheField name="Respondent ID" numFmtId="0">
      <sharedItems count="20">
        <s v="R001"/>
        <s v="R002"/>
        <s v="R003"/>
        <s v="R004"/>
        <s v="R005"/>
        <s v="R006"/>
        <s v="R007"/>
        <s v="R008"/>
        <s v="R009"/>
        <s v="R010"/>
        <s v="R011"/>
        <s v="R012"/>
        <s v="R013"/>
        <s v="R014"/>
        <s v="R015"/>
        <s v="R016"/>
        <s v="R017"/>
        <s v="R018"/>
        <s v="R019"/>
        <s v="R020"/>
      </sharedItems>
    </cacheField>
    <cacheField name="Age Group" numFmtId="0">
      <sharedItems count="20">
        <s v="18-25"/>
        <s v="26-35"/>
        <s v="36-45"/>
        <s v="46-55"/>
        <s v="56-65"/>
        <s v="66-75"/>
        <s v="76-85"/>
        <s v="86-95"/>
        <s v="96-105"/>
        <s v="106-115"/>
        <s v="116-125"/>
        <s v="126-135"/>
        <s v="136-145"/>
        <s v="146-155"/>
        <s v="156-165"/>
        <s v="166-175"/>
        <s v="176-185"/>
        <s v="186-195"/>
        <s v="196-205"/>
        <s v="206-210"/>
      </sharedItems>
    </cacheField>
    <cacheField name="Gender" numFmtId="0">
      <sharedItems/>
    </cacheField>
    <cacheField name="City" numFmtId="0">
      <sharedItems count="2">
        <s v="Metro"/>
        <s v="Non-Metro"/>
      </sharedItems>
    </cacheField>
    <cacheField name="Product Awareness" numFmtId="0">
      <sharedItems count="2">
        <s v="Yes"/>
        <s v="No"/>
      </sharedItems>
    </cacheField>
    <cacheField name="Purchase Frequency" numFmtId="0">
      <sharedItems count="3">
        <s v="Rare"/>
        <s v="Occupational"/>
        <s v="Frequent"/>
      </sharedItems>
    </cacheField>
    <cacheField name="Satisfaction Rating" numFmtId="0">
      <sharedItems containsSemiMixedTypes="0" containsString="0" containsNumber="1" containsInteger="1" minValue="3" maxValue="5"/>
    </cacheField>
    <cacheField name="Recommend" numFmtId="0">
      <sharedItems count="2">
        <s v="Yes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x v="0"/>
    <s v="Female"/>
    <x v="0"/>
    <x v="0"/>
    <x v="0"/>
    <n v="4"/>
    <x v="0"/>
  </r>
  <r>
    <x v="1"/>
    <x v="1"/>
    <s v="Male"/>
    <x v="0"/>
    <x v="1"/>
    <x v="0"/>
    <n v="4"/>
    <x v="0"/>
  </r>
  <r>
    <x v="2"/>
    <x v="2"/>
    <s v="Female"/>
    <x v="0"/>
    <x v="1"/>
    <x v="1"/>
    <n v="5"/>
    <x v="0"/>
  </r>
  <r>
    <x v="3"/>
    <x v="3"/>
    <s v="Male"/>
    <x v="0"/>
    <x v="0"/>
    <x v="0"/>
    <n v="3"/>
    <x v="0"/>
  </r>
  <r>
    <x v="4"/>
    <x v="4"/>
    <s v="Male"/>
    <x v="1"/>
    <x v="0"/>
    <x v="2"/>
    <n v="3"/>
    <x v="0"/>
  </r>
  <r>
    <x v="5"/>
    <x v="5"/>
    <s v="Male"/>
    <x v="0"/>
    <x v="1"/>
    <x v="1"/>
    <n v="5"/>
    <x v="1"/>
  </r>
  <r>
    <x v="6"/>
    <x v="6"/>
    <s v="Female"/>
    <x v="1"/>
    <x v="0"/>
    <x v="1"/>
    <n v="5"/>
    <x v="0"/>
  </r>
  <r>
    <x v="7"/>
    <x v="7"/>
    <s v="Female"/>
    <x v="1"/>
    <x v="1"/>
    <x v="0"/>
    <n v="4"/>
    <x v="1"/>
  </r>
  <r>
    <x v="8"/>
    <x v="8"/>
    <s v="Female"/>
    <x v="0"/>
    <x v="0"/>
    <x v="2"/>
    <n v="3"/>
    <x v="0"/>
  </r>
  <r>
    <x v="9"/>
    <x v="9"/>
    <s v="Male"/>
    <x v="0"/>
    <x v="1"/>
    <x v="2"/>
    <n v="3"/>
    <x v="1"/>
  </r>
  <r>
    <x v="10"/>
    <x v="10"/>
    <s v="Male"/>
    <x v="1"/>
    <x v="0"/>
    <x v="0"/>
    <n v="4"/>
    <x v="0"/>
  </r>
  <r>
    <x v="11"/>
    <x v="11"/>
    <s v="Male"/>
    <x v="0"/>
    <x v="0"/>
    <x v="0"/>
    <n v="4"/>
    <x v="0"/>
  </r>
  <r>
    <x v="12"/>
    <x v="12"/>
    <s v="Female"/>
    <x v="1"/>
    <x v="0"/>
    <x v="2"/>
    <n v="3"/>
    <x v="0"/>
  </r>
  <r>
    <x v="13"/>
    <x v="13"/>
    <s v="Male"/>
    <x v="0"/>
    <x v="0"/>
    <x v="0"/>
    <n v="4"/>
    <x v="0"/>
  </r>
  <r>
    <x v="14"/>
    <x v="14"/>
    <s v="Male"/>
    <x v="0"/>
    <x v="1"/>
    <x v="0"/>
    <n v="4"/>
    <x v="1"/>
  </r>
  <r>
    <x v="15"/>
    <x v="15"/>
    <s v="Female"/>
    <x v="0"/>
    <x v="1"/>
    <x v="1"/>
    <n v="5"/>
    <x v="1"/>
  </r>
  <r>
    <x v="16"/>
    <x v="16"/>
    <s v="Female"/>
    <x v="0"/>
    <x v="0"/>
    <x v="1"/>
    <n v="5"/>
    <x v="0"/>
  </r>
  <r>
    <x v="17"/>
    <x v="17"/>
    <s v="Female"/>
    <x v="1"/>
    <x v="0"/>
    <x v="2"/>
    <n v="3"/>
    <x v="0"/>
  </r>
  <r>
    <x v="18"/>
    <x v="18"/>
    <s v="Male"/>
    <x v="1"/>
    <x v="1"/>
    <x v="2"/>
    <n v="3"/>
    <x v="1"/>
  </r>
  <r>
    <x v="19"/>
    <x v="19"/>
    <s v="Male"/>
    <x v="1"/>
    <x v="1"/>
    <x v="0"/>
    <n v="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859E00-3E85-46A0-8483-88EA275A6A3F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4" firstHeaderRow="1" firstDataRow="1" firstDataCol="1"/>
  <pivotFields count="8">
    <pivotField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axis="axisRow" showAll="0">
      <items count="21">
        <item x="9"/>
        <item x="10"/>
        <item x="11"/>
        <item x="12"/>
        <item x="13"/>
        <item x="14"/>
        <item x="15"/>
        <item x="16"/>
        <item x="0"/>
        <item x="17"/>
        <item x="18"/>
        <item x="19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dataField="1" showAll="0"/>
    <pivotField showAll="0">
      <items count="3">
        <item x="1"/>
        <item x="0"/>
        <item t="default"/>
      </items>
    </pivotField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Satisfaction Rating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DD89E8-F6E1-4881-987D-A9185EB27A24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J2:K23" firstHeaderRow="1" firstDataRow="1" firstDataCol="1"/>
  <pivotFields count="8">
    <pivotField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axis="axisRow" showAll="0">
      <items count="21">
        <item x="9"/>
        <item x="10"/>
        <item x="11"/>
        <item x="12"/>
        <item x="13"/>
        <item x="14"/>
        <item x="15"/>
        <item x="16"/>
        <item x="0"/>
        <item x="17"/>
        <item x="18"/>
        <item x="19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dataField="1" showAll="0"/>
    <pivotField showAll="0">
      <items count="3">
        <item x="1"/>
        <item x="0"/>
        <item t="default"/>
      </items>
    </pivotField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Satisfaction Rating" fld="6" baseField="0" baseItem="0"/>
  </dataField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0A29A-ECE7-44B3-9F6C-9D00A9BBDDF0}">
  <dimension ref="A3:B24"/>
  <sheetViews>
    <sheetView workbookViewId="0">
      <selection activeCell="A3" sqref="A3:B24"/>
    </sheetView>
  </sheetViews>
  <sheetFormatPr defaultRowHeight="14.4" x14ac:dyDescent="0.3"/>
  <cols>
    <col min="1" max="1" width="12.44140625" bestFit="1" customWidth="1"/>
    <col min="2" max="2" width="22.88671875" bestFit="1" customWidth="1"/>
  </cols>
  <sheetData>
    <row r="3" spans="1:2" x14ac:dyDescent="0.3">
      <c r="A3" s="14" t="s">
        <v>64</v>
      </c>
      <c r="B3" t="s">
        <v>66</v>
      </c>
    </row>
    <row r="4" spans="1:2" x14ac:dyDescent="0.3">
      <c r="A4" s="15" t="s">
        <v>36</v>
      </c>
      <c r="B4" s="16">
        <v>3</v>
      </c>
    </row>
    <row r="5" spans="1:2" x14ac:dyDescent="0.3">
      <c r="A5" s="15" t="s">
        <v>38</v>
      </c>
      <c r="B5" s="16">
        <v>4</v>
      </c>
    </row>
    <row r="6" spans="1:2" x14ac:dyDescent="0.3">
      <c r="A6" s="15" t="s">
        <v>40</v>
      </c>
      <c r="B6" s="16">
        <v>4</v>
      </c>
    </row>
    <row r="7" spans="1:2" x14ac:dyDescent="0.3">
      <c r="A7" s="15" t="s">
        <v>42</v>
      </c>
      <c r="B7" s="16">
        <v>3</v>
      </c>
    </row>
    <row r="8" spans="1:2" x14ac:dyDescent="0.3">
      <c r="A8" s="15" t="s">
        <v>44</v>
      </c>
      <c r="B8" s="16">
        <v>4</v>
      </c>
    </row>
    <row r="9" spans="1:2" x14ac:dyDescent="0.3">
      <c r="A9" s="15" t="s">
        <v>46</v>
      </c>
      <c r="B9" s="16">
        <v>4</v>
      </c>
    </row>
    <row r="10" spans="1:2" x14ac:dyDescent="0.3">
      <c r="A10" s="15" t="s">
        <v>48</v>
      </c>
      <c r="B10" s="16">
        <v>5</v>
      </c>
    </row>
    <row r="11" spans="1:2" x14ac:dyDescent="0.3">
      <c r="A11" s="15" t="s">
        <v>50</v>
      </c>
      <c r="B11" s="16">
        <v>5</v>
      </c>
    </row>
    <row r="12" spans="1:2" x14ac:dyDescent="0.3">
      <c r="A12" s="15" t="s">
        <v>9</v>
      </c>
      <c r="B12" s="16">
        <v>4</v>
      </c>
    </row>
    <row r="13" spans="1:2" x14ac:dyDescent="0.3">
      <c r="A13" s="15" t="s">
        <v>52</v>
      </c>
      <c r="B13" s="16">
        <v>3</v>
      </c>
    </row>
    <row r="14" spans="1:2" x14ac:dyDescent="0.3">
      <c r="A14" s="15" t="s">
        <v>54</v>
      </c>
      <c r="B14" s="16">
        <v>3</v>
      </c>
    </row>
    <row r="15" spans="1:2" x14ac:dyDescent="0.3">
      <c r="A15" s="15" t="s">
        <v>56</v>
      </c>
      <c r="B15" s="16">
        <v>4</v>
      </c>
    </row>
    <row r="16" spans="1:2" x14ac:dyDescent="0.3">
      <c r="A16" s="15" t="s">
        <v>15</v>
      </c>
      <c r="B16" s="16">
        <v>4</v>
      </c>
    </row>
    <row r="17" spans="1:2" x14ac:dyDescent="0.3">
      <c r="A17" s="15" t="s">
        <v>19</v>
      </c>
      <c r="B17" s="16">
        <v>5</v>
      </c>
    </row>
    <row r="18" spans="1:2" x14ac:dyDescent="0.3">
      <c r="A18" s="15" t="s">
        <v>22</v>
      </c>
      <c r="B18" s="16">
        <v>3</v>
      </c>
    </row>
    <row r="19" spans="1:2" x14ac:dyDescent="0.3">
      <c r="A19" s="15" t="s">
        <v>24</v>
      </c>
      <c r="B19" s="16">
        <v>3</v>
      </c>
    </row>
    <row r="20" spans="1:2" x14ac:dyDescent="0.3">
      <c r="A20" s="15" t="s">
        <v>28</v>
      </c>
      <c r="B20" s="16">
        <v>5</v>
      </c>
    </row>
    <row r="21" spans="1:2" x14ac:dyDescent="0.3">
      <c r="A21" s="15" t="s">
        <v>30</v>
      </c>
      <c r="B21" s="16">
        <v>5</v>
      </c>
    </row>
    <row r="22" spans="1:2" x14ac:dyDescent="0.3">
      <c r="A22" s="15" t="s">
        <v>32</v>
      </c>
      <c r="B22" s="16">
        <v>4</v>
      </c>
    </row>
    <row r="23" spans="1:2" x14ac:dyDescent="0.3">
      <c r="A23" s="15" t="s">
        <v>34</v>
      </c>
      <c r="B23" s="16">
        <v>3</v>
      </c>
    </row>
    <row r="24" spans="1:2" x14ac:dyDescent="0.3">
      <c r="A24" s="15" t="s">
        <v>65</v>
      </c>
      <c r="B24" s="16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52086-E64E-4D5D-B943-791F994E5CDA}">
  <dimension ref="A1:M34"/>
  <sheetViews>
    <sheetView tabSelected="1" workbookViewId="0">
      <selection activeCell="G45" sqref="G45"/>
    </sheetView>
  </sheetViews>
  <sheetFormatPr defaultRowHeight="14.4" x14ac:dyDescent="0.3"/>
  <cols>
    <col min="1" max="1" width="16.109375" customWidth="1"/>
    <col min="2" max="2" width="13.109375" customWidth="1"/>
    <col min="3" max="3" width="12.5546875" customWidth="1"/>
    <col min="4" max="4" width="13.88671875" customWidth="1"/>
    <col min="5" max="5" width="18.6640625" customWidth="1"/>
    <col min="6" max="6" width="18.33203125" customWidth="1"/>
    <col min="7" max="7" width="17.6640625" customWidth="1"/>
    <col min="8" max="8" width="14" customWidth="1"/>
    <col min="10" max="10" width="13.5546875" customWidth="1"/>
    <col min="11" max="11" width="25" customWidth="1"/>
  </cols>
  <sheetData>
    <row r="1" spans="1:13" ht="27.6" x14ac:dyDescent="0.65">
      <c r="A1" s="2" t="s">
        <v>60</v>
      </c>
      <c r="B1" s="2"/>
      <c r="C1" s="2"/>
      <c r="D1" s="2"/>
      <c r="E1" s="2"/>
      <c r="F1" s="2"/>
      <c r="G1" s="2"/>
      <c r="H1" s="2"/>
    </row>
    <row r="2" spans="1:13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J2" s="14" t="s">
        <v>64</v>
      </c>
      <c r="K2" s="9" t="s">
        <v>66</v>
      </c>
      <c r="L2" s="9"/>
      <c r="M2" s="9"/>
    </row>
    <row r="3" spans="1:13" x14ac:dyDescent="0.3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4">
        <v>4</v>
      </c>
      <c r="H3" s="1" t="s">
        <v>12</v>
      </c>
      <c r="J3" s="15" t="s">
        <v>36</v>
      </c>
      <c r="K3" s="16">
        <v>3</v>
      </c>
      <c r="L3" s="15"/>
      <c r="M3" s="16"/>
    </row>
    <row r="4" spans="1:13" x14ac:dyDescent="0.3">
      <c r="A4" s="1" t="s">
        <v>14</v>
      </c>
      <c r="B4" s="1" t="s">
        <v>15</v>
      </c>
      <c r="C4" s="1" t="s">
        <v>16</v>
      </c>
      <c r="D4" s="1" t="s">
        <v>11</v>
      </c>
      <c r="E4" s="1" t="s">
        <v>17</v>
      </c>
      <c r="F4" s="1" t="s">
        <v>13</v>
      </c>
      <c r="G4" s="4">
        <v>4</v>
      </c>
      <c r="H4" s="1" t="s">
        <v>12</v>
      </c>
      <c r="J4" s="15" t="s">
        <v>38</v>
      </c>
      <c r="K4" s="16">
        <v>4</v>
      </c>
      <c r="L4" s="15"/>
      <c r="M4" s="16"/>
    </row>
    <row r="5" spans="1:13" x14ac:dyDescent="0.3">
      <c r="A5" s="1" t="s">
        <v>18</v>
      </c>
      <c r="B5" s="1" t="s">
        <v>19</v>
      </c>
      <c r="C5" s="1" t="s">
        <v>10</v>
      </c>
      <c r="D5" s="1" t="s">
        <v>11</v>
      </c>
      <c r="E5" s="1" t="s">
        <v>17</v>
      </c>
      <c r="F5" s="1" t="s">
        <v>20</v>
      </c>
      <c r="G5" s="4">
        <v>5</v>
      </c>
      <c r="H5" s="1" t="s">
        <v>12</v>
      </c>
      <c r="J5" s="15" t="s">
        <v>40</v>
      </c>
      <c r="K5" s="16">
        <v>4</v>
      </c>
      <c r="L5" s="15"/>
      <c r="M5" s="16"/>
    </row>
    <row r="6" spans="1:13" x14ac:dyDescent="0.3">
      <c r="A6" s="1" t="s">
        <v>21</v>
      </c>
      <c r="B6" s="1" t="s">
        <v>22</v>
      </c>
      <c r="C6" s="1" t="s">
        <v>16</v>
      </c>
      <c r="D6" s="1" t="s">
        <v>11</v>
      </c>
      <c r="E6" s="1" t="s">
        <v>12</v>
      </c>
      <c r="F6" s="1" t="s">
        <v>13</v>
      </c>
      <c r="G6" s="4">
        <v>3</v>
      </c>
      <c r="H6" s="1" t="s">
        <v>12</v>
      </c>
      <c r="J6" s="15" t="s">
        <v>42</v>
      </c>
      <c r="K6" s="16">
        <v>3</v>
      </c>
      <c r="L6" s="15"/>
      <c r="M6" s="16"/>
    </row>
    <row r="7" spans="1:13" x14ac:dyDescent="0.3">
      <c r="A7" s="1" t="s">
        <v>23</v>
      </c>
      <c r="B7" s="1" t="s">
        <v>24</v>
      </c>
      <c r="C7" s="1" t="s">
        <v>16</v>
      </c>
      <c r="D7" s="1" t="s">
        <v>25</v>
      </c>
      <c r="E7" s="1" t="s">
        <v>12</v>
      </c>
      <c r="F7" s="1" t="s">
        <v>26</v>
      </c>
      <c r="G7" s="4">
        <v>3</v>
      </c>
      <c r="H7" s="1" t="s">
        <v>12</v>
      </c>
      <c r="J7" s="15" t="s">
        <v>44</v>
      </c>
      <c r="K7" s="16">
        <v>4</v>
      </c>
      <c r="L7" s="15"/>
      <c r="M7" s="16"/>
    </row>
    <row r="8" spans="1:13" x14ac:dyDescent="0.3">
      <c r="A8" s="1" t="s">
        <v>27</v>
      </c>
      <c r="B8" s="1" t="s">
        <v>28</v>
      </c>
      <c r="C8" s="1" t="s">
        <v>16</v>
      </c>
      <c r="D8" s="1" t="s">
        <v>11</v>
      </c>
      <c r="E8" s="1" t="s">
        <v>17</v>
      </c>
      <c r="F8" s="1" t="s">
        <v>20</v>
      </c>
      <c r="G8" s="4">
        <v>5</v>
      </c>
      <c r="H8" s="1" t="s">
        <v>17</v>
      </c>
      <c r="J8" s="15" t="s">
        <v>46</v>
      </c>
      <c r="K8" s="16">
        <v>4</v>
      </c>
      <c r="L8" s="15"/>
      <c r="M8" s="16"/>
    </row>
    <row r="9" spans="1:13" x14ac:dyDescent="0.3">
      <c r="A9" s="1" t="s">
        <v>29</v>
      </c>
      <c r="B9" s="1" t="s">
        <v>30</v>
      </c>
      <c r="C9" s="1" t="s">
        <v>10</v>
      </c>
      <c r="D9" s="1" t="s">
        <v>25</v>
      </c>
      <c r="E9" s="1" t="s">
        <v>12</v>
      </c>
      <c r="F9" s="1" t="s">
        <v>20</v>
      </c>
      <c r="G9" s="4">
        <v>5</v>
      </c>
      <c r="H9" s="1" t="s">
        <v>12</v>
      </c>
      <c r="J9" s="15" t="s">
        <v>48</v>
      </c>
      <c r="K9" s="16">
        <v>5</v>
      </c>
      <c r="L9" s="15"/>
      <c r="M9" s="16"/>
    </row>
    <row r="10" spans="1:13" x14ac:dyDescent="0.3">
      <c r="A10" s="1" t="s">
        <v>31</v>
      </c>
      <c r="B10" s="1" t="s">
        <v>32</v>
      </c>
      <c r="C10" s="1" t="s">
        <v>10</v>
      </c>
      <c r="D10" s="1" t="s">
        <v>25</v>
      </c>
      <c r="E10" s="1" t="s">
        <v>17</v>
      </c>
      <c r="F10" s="1" t="s">
        <v>13</v>
      </c>
      <c r="G10" s="4">
        <v>4</v>
      </c>
      <c r="H10" s="1" t="s">
        <v>17</v>
      </c>
      <c r="J10" s="15" t="s">
        <v>50</v>
      </c>
      <c r="K10" s="16">
        <v>5</v>
      </c>
      <c r="L10" s="15"/>
      <c r="M10" s="16"/>
    </row>
    <row r="11" spans="1:13" x14ac:dyDescent="0.3">
      <c r="A11" s="1" t="s">
        <v>33</v>
      </c>
      <c r="B11" s="1" t="s">
        <v>34</v>
      </c>
      <c r="C11" s="1" t="s">
        <v>10</v>
      </c>
      <c r="D11" s="1" t="s">
        <v>11</v>
      </c>
      <c r="E11" s="1" t="s">
        <v>12</v>
      </c>
      <c r="F11" s="1" t="s">
        <v>26</v>
      </c>
      <c r="G11" s="4">
        <v>3</v>
      </c>
      <c r="H11" s="1" t="s">
        <v>12</v>
      </c>
      <c r="J11" s="15" t="s">
        <v>9</v>
      </c>
      <c r="K11" s="16">
        <v>4</v>
      </c>
      <c r="L11" s="15"/>
      <c r="M11" s="16"/>
    </row>
    <row r="12" spans="1:13" x14ac:dyDescent="0.3">
      <c r="A12" s="1" t="s">
        <v>35</v>
      </c>
      <c r="B12" s="1" t="s">
        <v>36</v>
      </c>
      <c r="C12" s="1" t="s">
        <v>16</v>
      </c>
      <c r="D12" s="1" t="s">
        <v>11</v>
      </c>
      <c r="E12" s="1" t="s">
        <v>17</v>
      </c>
      <c r="F12" s="1" t="s">
        <v>26</v>
      </c>
      <c r="G12" s="1">
        <v>3</v>
      </c>
      <c r="H12" s="1" t="s">
        <v>17</v>
      </c>
      <c r="J12" s="15" t="s">
        <v>52</v>
      </c>
      <c r="K12" s="16">
        <v>3</v>
      </c>
      <c r="L12" s="15"/>
      <c r="M12" s="16"/>
    </row>
    <row r="13" spans="1:13" x14ac:dyDescent="0.3">
      <c r="A13" s="1" t="s">
        <v>37</v>
      </c>
      <c r="B13" s="1" t="s">
        <v>38</v>
      </c>
      <c r="C13" s="1" t="s">
        <v>16</v>
      </c>
      <c r="D13" s="1" t="s">
        <v>25</v>
      </c>
      <c r="E13" s="1" t="s">
        <v>12</v>
      </c>
      <c r="F13" s="1" t="s">
        <v>13</v>
      </c>
      <c r="G13" s="1">
        <v>4</v>
      </c>
      <c r="H13" s="1" t="s">
        <v>12</v>
      </c>
      <c r="J13" s="15" t="s">
        <v>54</v>
      </c>
      <c r="K13" s="16">
        <v>3</v>
      </c>
      <c r="L13" s="15"/>
      <c r="M13" s="16"/>
    </row>
    <row r="14" spans="1:13" x14ac:dyDescent="0.3">
      <c r="A14" s="1" t="s">
        <v>39</v>
      </c>
      <c r="B14" s="1" t="s">
        <v>40</v>
      </c>
      <c r="C14" s="1" t="s">
        <v>16</v>
      </c>
      <c r="D14" s="1" t="s">
        <v>11</v>
      </c>
      <c r="E14" s="1" t="s">
        <v>12</v>
      </c>
      <c r="F14" s="1" t="s">
        <v>13</v>
      </c>
      <c r="G14" s="1">
        <v>4</v>
      </c>
      <c r="H14" s="1" t="s">
        <v>12</v>
      </c>
      <c r="J14" s="15" t="s">
        <v>56</v>
      </c>
      <c r="K14" s="16">
        <v>4</v>
      </c>
      <c r="L14" s="15"/>
      <c r="M14" s="16"/>
    </row>
    <row r="15" spans="1:13" x14ac:dyDescent="0.3">
      <c r="A15" s="1" t="s">
        <v>41</v>
      </c>
      <c r="B15" s="1" t="s">
        <v>42</v>
      </c>
      <c r="C15" s="5" t="s">
        <v>10</v>
      </c>
      <c r="D15" s="5" t="s">
        <v>25</v>
      </c>
      <c r="E15" s="1" t="s">
        <v>12</v>
      </c>
      <c r="F15" s="5" t="s">
        <v>26</v>
      </c>
      <c r="G15" s="5">
        <v>3</v>
      </c>
      <c r="H15" s="1" t="s">
        <v>12</v>
      </c>
      <c r="J15" s="15" t="s">
        <v>15</v>
      </c>
      <c r="K15" s="16">
        <v>4</v>
      </c>
      <c r="L15" s="15"/>
      <c r="M15" s="16"/>
    </row>
    <row r="16" spans="1:13" x14ac:dyDescent="0.3">
      <c r="A16" s="1" t="s">
        <v>43</v>
      </c>
      <c r="B16" s="1" t="s">
        <v>44</v>
      </c>
      <c r="C16" s="5" t="s">
        <v>16</v>
      </c>
      <c r="D16" s="5" t="s">
        <v>11</v>
      </c>
      <c r="E16" s="1" t="s">
        <v>12</v>
      </c>
      <c r="F16" s="5" t="s">
        <v>13</v>
      </c>
      <c r="G16" s="5">
        <v>4</v>
      </c>
      <c r="H16" s="1" t="s">
        <v>12</v>
      </c>
      <c r="J16" s="15" t="s">
        <v>19</v>
      </c>
      <c r="K16" s="16">
        <v>5</v>
      </c>
      <c r="L16" s="15"/>
      <c r="M16" s="16"/>
    </row>
    <row r="17" spans="1:13" x14ac:dyDescent="0.3">
      <c r="A17" s="1" t="s">
        <v>45</v>
      </c>
      <c r="B17" s="1" t="s">
        <v>46</v>
      </c>
      <c r="C17" s="5" t="s">
        <v>16</v>
      </c>
      <c r="D17" s="5" t="s">
        <v>11</v>
      </c>
      <c r="E17" s="1" t="s">
        <v>17</v>
      </c>
      <c r="F17" s="5" t="s">
        <v>13</v>
      </c>
      <c r="G17" s="5">
        <v>4</v>
      </c>
      <c r="H17" s="1" t="s">
        <v>17</v>
      </c>
      <c r="J17" s="15" t="s">
        <v>22</v>
      </c>
      <c r="K17" s="16">
        <v>3</v>
      </c>
      <c r="L17" s="15"/>
      <c r="M17" s="16"/>
    </row>
    <row r="18" spans="1:13" x14ac:dyDescent="0.3">
      <c r="A18" s="1" t="s">
        <v>47</v>
      </c>
      <c r="B18" s="1" t="s">
        <v>48</v>
      </c>
      <c r="C18" s="5" t="s">
        <v>10</v>
      </c>
      <c r="D18" s="5" t="s">
        <v>11</v>
      </c>
      <c r="E18" s="5" t="s">
        <v>17</v>
      </c>
      <c r="F18" s="5" t="s">
        <v>20</v>
      </c>
      <c r="G18" s="5">
        <v>5</v>
      </c>
      <c r="H18" s="5" t="s">
        <v>17</v>
      </c>
      <c r="J18" s="15" t="s">
        <v>24</v>
      </c>
      <c r="K18" s="16">
        <v>3</v>
      </c>
      <c r="L18" s="15"/>
      <c r="M18" s="16"/>
    </row>
    <row r="19" spans="1:13" x14ac:dyDescent="0.3">
      <c r="A19" s="1" t="s">
        <v>49</v>
      </c>
      <c r="B19" s="1" t="s">
        <v>50</v>
      </c>
      <c r="C19" s="5" t="s">
        <v>10</v>
      </c>
      <c r="D19" s="5" t="s">
        <v>11</v>
      </c>
      <c r="E19" s="5" t="s">
        <v>12</v>
      </c>
      <c r="F19" s="5" t="s">
        <v>20</v>
      </c>
      <c r="G19" s="5">
        <v>5</v>
      </c>
      <c r="H19" s="5" t="s">
        <v>12</v>
      </c>
      <c r="J19" s="15" t="s">
        <v>28</v>
      </c>
      <c r="K19" s="16">
        <v>5</v>
      </c>
      <c r="L19" s="15"/>
      <c r="M19" s="16"/>
    </row>
    <row r="20" spans="1:13" x14ac:dyDescent="0.3">
      <c r="A20" s="1" t="s">
        <v>51</v>
      </c>
      <c r="B20" s="1" t="s">
        <v>52</v>
      </c>
      <c r="C20" s="5" t="s">
        <v>10</v>
      </c>
      <c r="D20" s="5" t="s">
        <v>25</v>
      </c>
      <c r="E20" s="5" t="s">
        <v>12</v>
      </c>
      <c r="F20" s="5" t="s">
        <v>26</v>
      </c>
      <c r="G20" s="5">
        <v>3</v>
      </c>
      <c r="H20" s="5" t="s">
        <v>12</v>
      </c>
      <c r="J20" s="15" t="s">
        <v>30</v>
      </c>
      <c r="K20" s="16">
        <v>5</v>
      </c>
      <c r="L20" s="15"/>
      <c r="M20" s="16"/>
    </row>
    <row r="21" spans="1:13" x14ac:dyDescent="0.3">
      <c r="A21" s="1" t="s">
        <v>53</v>
      </c>
      <c r="B21" s="1" t="s">
        <v>54</v>
      </c>
      <c r="C21" s="5" t="s">
        <v>16</v>
      </c>
      <c r="D21" s="5" t="s">
        <v>25</v>
      </c>
      <c r="E21" s="5" t="s">
        <v>17</v>
      </c>
      <c r="F21" s="5" t="s">
        <v>26</v>
      </c>
      <c r="G21" s="5">
        <v>3</v>
      </c>
      <c r="H21" s="5" t="s">
        <v>17</v>
      </c>
      <c r="J21" s="15" t="s">
        <v>32</v>
      </c>
      <c r="K21" s="16">
        <v>4</v>
      </c>
      <c r="L21" s="15"/>
      <c r="M21" s="16"/>
    </row>
    <row r="22" spans="1:13" x14ac:dyDescent="0.3">
      <c r="A22" s="1" t="s">
        <v>55</v>
      </c>
      <c r="B22" s="1" t="s">
        <v>56</v>
      </c>
      <c r="C22" s="5" t="s">
        <v>16</v>
      </c>
      <c r="D22" s="5" t="s">
        <v>25</v>
      </c>
      <c r="E22" s="5" t="s">
        <v>17</v>
      </c>
      <c r="F22" s="5" t="s">
        <v>13</v>
      </c>
      <c r="G22" s="5">
        <v>4</v>
      </c>
      <c r="H22" s="5" t="s">
        <v>17</v>
      </c>
      <c r="J22" s="15" t="s">
        <v>34</v>
      </c>
      <c r="K22" s="16">
        <v>3</v>
      </c>
      <c r="L22" s="15"/>
      <c r="M22" s="16"/>
    </row>
    <row r="23" spans="1:13" x14ac:dyDescent="0.3">
      <c r="J23" s="15" t="s">
        <v>65</v>
      </c>
      <c r="K23" s="16">
        <v>78</v>
      </c>
      <c r="L23" s="15"/>
      <c r="M23" s="16"/>
    </row>
    <row r="25" spans="1:13" ht="25.2" x14ac:dyDescent="0.6">
      <c r="A25" s="6" t="s">
        <v>57</v>
      </c>
      <c r="B25" s="6"/>
      <c r="C25" s="6"/>
      <c r="D25" s="6"/>
      <c r="E25" s="6"/>
      <c r="F25" s="6"/>
    </row>
    <row r="26" spans="1:13" ht="19.2" customHeight="1" x14ac:dyDescent="0.35">
      <c r="A26" s="8" t="s">
        <v>62</v>
      </c>
      <c r="B26" s="8"/>
      <c r="C26" s="8"/>
      <c r="D26" s="8"/>
      <c r="E26" s="7"/>
      <c r="F26" s="1">
        <f>COUNTIF(E3:E22,"Yes")</f>
        <v>11</v>
      </c>
    </row>
    <row r="27" spans="1:13" ht="21" customHeight="1" x14ac:dyDescent="0.3">
      <c r="A27" s="7" t="s">
        <v>58</v>
      </c>
      <c r="B27" s="7"/>
      <c r="C27" s="7"/>
      <c r="D27" s="7"/>
      <c r="E27" s="7"/>
      <c r="F27" s="1">
        <v>13</v>
      </c>
    </row>
    <row r="28" spans="1:13" ht="25.2" customHeight="1" x14ac:dyDescent="0.4">
      <c r="A28" s="10" t="s">
        <v>63</v>
      </c>
      <c r="B28" s="11"/>
      <c r="C28" s="11"/>
      <c r="D28" s="12"/>
      <c r="E28" s="7"/>
      <c r="F28" s="1">
        <f>COUNTIF(H3:H22,"yes")</f>
        <v>13</v>
      </c>
    </row>
    <row r="29" spans="1:13" ht="27.6" customHeight="1" x14ac:dyDescent="0.3">
      <c r="A29" s="10" t="s">
        <v>59</v>
      </c>
      <c r="B29" s="11"/>
      <c r="C29" s="11"/>
      <c r="D29" s="12"/>
      <c r="E29" s="7"/>
      <c r="F29" s="1">
        <f>COUNTIF(F3:F22,"Frequent")</f>
        <v>6</v>
      </c>
      <c r="J29" s="13"/>
    </row>
    <row r="30" spans="1:13" x14ac:dyDescent="0.3">
      <c r="J30" s="13"/>
    </row>
    <row r="34" spans="4:4" x14ac:dyDescent="0.3">
      <c r="D34" t="s">
        <v>61</v>
      </c>
    </row>
  </sheetData>
  <mergeCells count="5">
    <mergeCell ref="A26:D26"/>
    <mergeCell ref="A25:F25"/>
    <mergeCell ref="A28:D28"/>
    <mergeCell ref="A29:D29"/>
    <mergeCell ref="A1:H1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Hitesh Yadav</dc:creator>
  <cp:lastModifiedBy>Hitesh Yadav</cp:lastModifiedBy>
  <dcterms:created xsi:type="dcterms:W3CDTF">2026-02-18T05:05:07Z</dcterms:created>
  <dcterms:modified xsi:type="dcterms:W3CDTF">2026-02-18T05:43:35Z</dcterms:modified>
</cp:coreProperties>
</file>