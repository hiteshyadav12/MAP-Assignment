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es\OneDrive\Documents\"/>
    </mc:Choice>
  </mc:AlternateContent>
  <xr:revisionPtr revIDLastSave="0" documentId="13_ncr:1_{4984CDC3-8680-4F74-B8F8-F8EF6EA71091}" xr6:coauthVersionLast="47" xr6:coauthVersionMax="47" xr10:uidLastSave="{00000000-0000-0000-0000-000000000000}"/>
  <bookViews>
    <workbookView xWindow="-108" yWindow="-108" windowWidth="23256" windowHeight="12456" activeTab="2" xr2:uid="{BBAAA72B-6BD3-4A29-99BA-666361507984}"/>
  </bookViews>
  <sheets>
    <sheet name="Sales" sheetId="1" r:id="rId1"/>
    <sheet name="Marketing" sheetId="6" r:id="rId2"/>
    <sheet name="Finance" sheetId="7" r:id="rId3"/>
    <sheet name="HR" sheetId="8" r:id="rId4"/>
    <sheet name="Insurance" sheetId="11" r:id="rId5"/>
  </sheets>
  <definedNames>
    <definedName name="_xlchart.v1.0" hidden="1">Finance!$A$1</definedName>
    <definedName name="_xlchart.v1.1" hidden="1">Finance!$A$2:$A$20</definedName>
    <definedName name="_xlchart.v1.10" hidden="1">Finance!$B$1</definedName>
    <definedName name="_xlchart.v1.11" hidden="1">Finance!$B$2:$B$20</definedName>
    <definedName name="_xlchart.v1.12" hidden="1">Insurance!$C$10:$E$10</definedName>
    <definedName name="_xlchart.v1.13" hidden="1">Insurance!$C$11:$E$11</definedName>
    <definedName name="_xlchart.v1.14" hidden="1">Insurance!$C$12:$E$12</definedName>
    <definedName name="_xlchart.v1.15" hidden="1">Insurance!$C$13:$E$13</definedName>
    <definedName name="_xlchart.v1.16" hidden="1">Insurance!$C$14:$E$14</definedName>
    <definedName name="_xlchart.v1.17" hidden="1">Insurance!$C$15:$E$15</definedName>
    <definedName name="_xlchart.v1.18" hidden="1">Insurance!$C$16:$E$16</definedName>
    <definedName name="_xlchart.v1.19" hidden="1">Insurance!$C$17:$E$17</definedName>
    <definedName name="_xlchart.v1.2" hidden="1">Finance!$B$1</definedName>
    <definedName name="_xlchart.v1.20" hidden="1">Insurance!$C$18:$E$18</definedName>
    <definedName name="_xlchart.v1.21" hidden="1">Insurance!$C$19:$E$19</definedName>
    <definedName name="_xlchart.v1.22" hidden="1">Insurance!$C$1:$E$1</definedName>
    <definedName name="_xlchart.v1.23" hidden="1">Insurance!$C$20:$E$20</definedName>
    <definedName name="_xlchart.v1.24" hidden="1">Insurance!$C$2:$E$2</definedName>
    <definedName name="_xlchart.v1.25" hidden="1">Insurance!$C$3:$E$3</definedName>
    <definedName name="_xlchart.v1.26" hidden="1">Insurance!$C$4:$E$4</definedName>
    <definedName name="_xlchart.v1.27" hidden="1">Insurance!$C$5:$E$5</definedName>
    <definedName name="_xlchart.v1.28" hidden="1">Insurance!$C$6:$E$6</definedName>
    <definedName name="_xlchart.v1.29" hidden="1">Insurance!$C$7:$E$7</definedName>
    <definedName name="_xlchart.v1.3" hidden="1">Finance!$B$2:$B$20</definedName>
    <definedName name="_xlchart.v1.30" hidden="1">Insurance!$C$8:$E$8</definedName>
    <definedName name="_xlchart.v1.31" hidden="1">Insurance!$C$9:$E$9</definedName>
    <definedName name="_xlchart.v1.4" hidden="1">Finance!$A$1</definedName>
    <definedName name="_xlchart.v1.5" hidden="1">Finance!$A$2:$A$20</definedName>
    <definedName name="_xlchart.v1.6" hidden="1">Finance!$B$1</definedName>
    <definedName name="_xlchart.v1.7" hidden="1">Finance!$B$2:$B$20</definedName>
    <definedName name="_xlchart.v1.8" hidden="1">Finance!$A$1</definedName>
    <definedName name="_xlchart.v1.9" hidden="1">Finance!$A$2:$A$20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7" l="1"/>
  <c r="C43" i="11" a="1"/>
  <c r="C43" i="11" s="1"/>
  <c r="C46" i="1"/>
  <c r="C42" i="1"/>
  <c r="G31" i="1"/>
  <c r="G37" i="11"/>
  <c r="G36" i="11"/>
  <c r="G35" i="11"/>
  <c r="G34" i="11"/>
  <c r="G33" i="11"/>
  <c r="G29" i="11"/>
  <c r="G28" i="11" l="1"/>
  <c r="G25" i="11"/>
  <c r="G24" i="11"/>
  <c r="C32" i="11"/>
  <c r="C31" i="11"/>
  <c r="C30" i="11"/>
  <c r="C27" i="11"/>
  <c r="C26" i="11"/>
  <c r="C25" i="11"/>
  <c r="C24" i="11"/>
  <c r="C23" i="11"/>
  <c r="C42" i="11"/>
  <c r="C41" i="11"/>
  <c r="C38" i="11"/>
  <c r="C37" i="11"/>
  <c r="C36" i="11"/>
  <c r="C35" i="11"/>
  <c r="G36" i="8"/>
  <c r="G35" i="8"/>
  <c r="G34" i="8"/>
  <c r="G33" i="8"/>
  <c r="G32" i="8"/>
  <c r="G28" i="8"/>
  <c r="G27" i="8"/>
  <c r="G24" i="8"/>
  <c r="G23" i="8"/>
  <c r="C42" i="8"/>
  <c r="C31" i="8"/>
  <c r="C30" i="8"/>
  <c r="C27" i="8"/>
  <c r="C26" i="8"/>
  <c r="C25" i="8"/>
  <c r="C24" i="8"/>
  <c r="C23" i="8"/>
  <c r="C41" i="8"/>
  <c r="C38" i="8"/>
  <c r="C37" i="8"/>
  <c r="C36" i="8"/>
  <c r="C35" i="8"/>
  <c r="C32" i="8"/>
  <c r="G34" i="7"/>
  <c r="G33" i="7"/>
  <c r="G30" i="7"/>
  <c r="G25" i="7"/>
  <c r="C33" i="7"/>
  <c r="C31" i="7"/>
  <c r="C32" i="7"/>
  <c r="G24" i="7"/>
  <c r="C20" i="7"/>
  <c r="G42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B2" i="7"/>
  <c r="C2" i="7" s="1"/>
  <c r="G36" i="6"/>
  <c r="G35" i="6"/>
  <c r="G34" i="6"/>
  <c r="G33" i="6"/>
  <c r="G32" i="6"/>
  <c r="G28" i="6"/>
  <c r="G27" i="6"/>
  <c r="G24" i="6"/>
  <c r="G23" i="6"/>
  <c r="C27" i="6"/>
  <c r="C26" i="6"/>
  <c r="C25" i="6"/>
  <c r="C24" i="6"/>
  <c r="C23" i="6"/>
  <c r="C42" i="6"/>
  <c r="C41" i="6"/>
  <c r="C38" i="6"/>
  <c r="C37" i="6"/>
  <c r="C36" i="6"/>
  <c r="C35" i="6"/>
  <c r="C32" i="6"/>
  <c r="C31" i="6"/>
  <c r="C30" i="6"/>
  <c r="G33" i="1"/>
  <c r="G32" i="1"/>
  <c r="G30" i="1"/>
  <c r="G29" i="1"/>
  <c r="G24" i="1"/>
  <c r="G23" i="1"/>
  <c r="C47" i="1"/>
  <c r="C37" i="1"/>
  <c r="C36" i="1"/>
  <c r="C35" i="1"/>
  <c r="C32" i="1"/>
  <c r="C31" i="1"/>
  <c r="C30" i="1"/>
  <c r="C27" i="1"/>
  <c r="C26" i="1"/>
  <c r="C25" i="1"/>
  <c r="C24" i="1"/>
  <c r="C23" i="1"/>
  <c r="C41" i="1"/>
  <c r="C38" i="1"/>
  <c r="G40" i="7" l="1"/>
  <c r="G39" i="7"/>
  <c r="C28" i="7"/>
  <c r="C24" i="7"/>
  <c r="G29" i="7" s="1"/>
  <c r="C26" i="7"/>
  <c r="C27" i="7"/>
  <c r="C25" i="7"/>
  <c r="G38" i="7"/>
  <c r="G41" i="7"/>
  <c r="C36" i="7"/>
  <c r="C37" i="7"/>
  <c r="C38" i="7"/>
  <c r="C3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<sst xmlns="http://schemas.openxmlformats.org/spreadsheetml/2006/main" count="365" uniqueCount="131">
  <si>
    <t>Date</t>
  </si>
  <si>
    <t>Product</t>
  </si>
  <si>
    <t>Region</t>
  </si>
  <si>
    <t>Sales Amount</t>
  </si>
  <si>
    <t>Profit</t>
  </si>
  <si>
    <t>01.10.2025</t>
  </si>
  <si>
    <t>Smartphone</t>
  </si>
  <si>
    <t>North</t>
  </si>
  <si>
    <t>09.10.2025</t>
  </si>
  <si>
    <t>Laptop</t>
  </si>
  <si>
    <t>East</t>
  </si>
  <si>
    <t>11.10.2025</t>
  </si>
  <si>
    <t>South</t>
  </si>
  <si>
    <t>21.10.2025</t>
  </si>
  <si>
    <t>camera</t>
  </si>
  <si>
    <t>25.10.2025</t>
  </si>
  <si>
    <t>television</t>
  </si>
  <si>
    <t>West</t>
  </si>
  <si>
    <t>02.11.2025</t>
  </si>
  <si>
    <t>10.11.2025</t>
  </si>
  <si>
    <t>15.11.2025</t>
  </si>
  <si>
    <t>21.11.2025</t>
  </si>
  <si>
    <t>29.11.2025</t>
  </si>
  <si>
    <t>05.12.2025</t>
  </si>
  <si>
    <t>08.12.2025</t>
  </si>
  <si>
    <t>15.12.2025</t>
  </si>
  <si>
    <t>19.12.2025</t>
  </si>
  <si>
    <t>31.12.2025</t>
  </si>
  <si>
    <t>Mathematical Functions</t>
  </si>
  <si>
    <t>SUM</t>
  </si>
  <si>
    <t>AVERAGE</t>
  </si>
  <si>
    <t>MIN</t>
  </si>
  <si>
    <t>MAX</t>
  </si>
  <si>
    <t>COUNT</t>
  </si>
  <si>
    <t>Logical functions</t>
  </si>
  <si>
    <t>IF</t>
  </si>
  <si>
    <t>AND</t>
  </si>
  <si>
    <t>OR</t>
  </si>
  <si>
    <t>Text functions</t>
  </si>
  <si>
    <t>LEFT</t>
  </si>
  <si>
    <t>RIGHT</t>
  </si>
  <si>
    <t>MID</t>
  </si>
  <si>
    <t>CONCAT</t>
  </si>
  <si>
    <t>Data functions</t>
  </si>
  <si>
    <t>TODAY</t>
  </si>
  <si>
    <t>NOW</t>
  </si>
  <si>
    <t>DATEDIF</t>
  </si>
  <si>
    <t>Financial functions</t>
  </si>
  <si>
    <t>PMT</t>
  </si>
  <si>
    <t>NPV</t>
  </si>
  <si>
    <t>Lookup functions</t>
  </si>
  <si>
    <t>VLOOUP</t>
  </si>
  <si>
    <t>HLOOKUP</t>
  </si>
  <si>
    <t>XLOOKUP</t>
  </si>
  <si>
    <t>Statistical functions</t>
  </si>
  <si>
    <t>MEAN</t>
  </si>
  <si>
    <t>MEDIAN</t>
  </si>
  <si>
    <t>MODE</t>
  </si>
  <si>
    <t>STANDARD DEVIATION</t>
  </si>
  <si>
    <t>CORRELATION</t>
  </si>
  <si>
    <t>01.01.2026</t>
  </si>
  <si>
    <t>02.01.2026</t>
  </si>
  <si>
    <t>03.01.2026</t>
  </si>
  <si>
    <t>04.01.2026</t>
  </si>
  <si>
    <t>Row Labels</t>
  </si>
  <si>
    <t>Grand Total</t>
  </si>
  <si>
    <t>Sum of Profit</t>
  </si>
  <si>
    <t>Campaign</t>
  </si>
  <si>
    <t>Leads generated</t>
  </si>
  <si>
    <t>Cost</t>
  </si>
  <si>
    <t>Conversion rate</t>
  </si>
  <si>
    <t>Summer</t>
  </si>
  <si>
    <t>Festival</t>
  </si>
  <si>
    <t>Influence</t>
  </si>
  <si>
    <t>Email</t>
  </si>
  <si>
    <t>Winter</t>
  </si>
  <si>
    <t>New year</t>
  </si>
  <si>
    <t>Girl's</t>
  </si>
  <si>
    <t>Mansoon</t>
  </si>
  <si>
    <t>RepublicDay</t>
  </si>
  <si>
    <t>School</t>
  </si>
  <si>
    <t>Tech</t>
  </si>
  <si>
    <t>IndependenceDay</t>
  </si>
  <si>
    <t>Birthday</t>
  </si>
  <si>
    <t>Boy's</t>
  </si>
  <si>
    <t>Children</t>
  </si>
  <si>
    <t>Revenue</t>
  </si>
  <si>
    <t>Expenses</t>
  </si>
  <si>
    <t>Budget vs Actual</t>
  </si>
  <si>
    <t>Sum of Expenses</t>
  </si>
  <si>
    <t>Employee ID</t>
  </si>
  <si>
    <t>Department</t>
  </si>
  <si>
    <t>Salary</t>
  </si>
  <si>
    <t>Experience</t>
  </si>
  <si>
    <t>Attrition</t>
  </si>
  <si>
    <t>Sales</t>
  </si>
  <si>
    <t>yes</t>
  </si>
  <si>
    <t>Marketing</t>
  </si>
  <si>
    <t>no</t>
  </si>
  <si>
    <t>Finance</t>
  </si>
  <si>
    <t>HR</t>
  </si>
  <si>
    <t>IT</t>
  </si>
  <si>
    <t>Policy Number</t>
  </si>
  <si>
    <t>Customer Age</t>
  </si>
  <si>
    <t>Premium</t>
  </si>
  <si>
    <t>Claim Amount</t>
  </si>
  <si>
    <t>Policy Type</t>
  </si>
  <si>
    <t>P1001</t>
  </si>
  <si>
    <t>Health</t>
  </si>
  <si>
    <t>P1002</t>
  </si>
  <si>
    <t>Life</t>
  </si>
  <si>
    <t>P1003</t>
  </si>
  <si>
    <t>Vehicle</t>
  </si>
  <si>
    <t>P1004</t>
  </si>
  <si>
    <t>Home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</si>
  <si>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</si>
  <si>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</si>
  <si>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</si>
  <si>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</si>
  <si>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</si>
  <si>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</si>
  <si>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</si>
  <si>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</si>
  <si>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</si>
  <si>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</si>
  <si>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</si>
  <si>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</si>
  <si>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</si>
  <si>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</si>
  <si>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</si>
  <si>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Sum of 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</si>
</sst>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22" fontId="0" fillId="0" borderId="1" xfId="0" applyNumberFormat="1" applyBorder="1" applyAlignment="1">
      <alignment horizontal="left"/>
    </xf>
    <xf numFmtId="8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1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231209735146744"/>
          <c:y val="0.20388170055452867"/>
          <c:w val="0.79020240941835851"/>
          <c:h val="0.62903100605954754"/>
        </c:manualLayout>
      </c:layout>
      <c:pie3DChart>
        <c:varyColors val="1"/>
        <c:ser>
          <c:idx val="0"/>
          <c:order val="0"/>
          <c:tx>
            <c:strRef>
              <c:f>Sales!$D$1</c:f>
              <c:strCache>
                <c:ptCount val="1"/>
                <c:pt idx="0">
                  <c:v>Sales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1BC-4F03-9710-4FA3477A122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1BC-4F03-9710-4FA3477A122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1BC-4F03-9710-4FA3477A122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1BC-4F03-9710-4FA3477A122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1BC-4F03-9710-4FA3477A122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1BC-4F03-9710-4FA3477A122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1BC-4F03-9710-4FA3477A122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1BC-4F03-9710-4FA3477A122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31BC-4F03-9710-4FA3477A122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1BC-4F03-9710-4FA3477A122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31BC-4F03-9710-4FA3477A122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1BC-4F03-9710-4FA3477A122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31BC-4F03-9710-4FA3477A122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31BC-4F03-9710-4FA3477A122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31BC-4F03-9710-4FA3477A122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31BC-4F03-9710-4FA3477A122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31BC-4F03-9710-4FA3477A122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31BC-4F03-9710-4FA3477A122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31BC-4F03-9710-4FA3477A1223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Sales!$C$2:$C$20</c:f>
              <c:strCache>
                <c:ptCount val="19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  <c:pt idx="6">
                  <c:v>South</c:v>
                </c:pt>
                <c:pt idx="7">
                  <c:v>West</c:v>
                </c:pt>
                <c:pt idx="8">
                  <c:v>East</c:v>
                </c:pt>
                <c:pt idx="9">
                  <c:v>North</c:v>
                </c:pt>
                <c:pt idx="10">
                  <c:v>South</c:v>
                </c:pt>
                <c:pt idx="11">
                  <c:v>West</c:v>
                </c:pt>
                <c:pt idx="12">
                  <c:v>East</c:v>
                </c:pt>
                <c:pt idx="13">
                  <c:v>South</c:v>
                </c:pt>
                <c:pt idx="14">
                  <c:v>North</c:v>
                </c:pt>
                <c:pt idx="15">
                  <c:v>South</c:v>
                </c:pt>
                <c:pt idx="16">
                  <c:v>West</c:v>
                </c:pt>
                <c:pt idx="17">
                  <c:v>East</c:v>
                </c:pt>
                <c:pt idx="18">
                  <c:v>North</c:v>
                </c:pt>
              </c:strCache>
            </c:strRef>
          </c:cat>
          <c:val>
            <c:numRef>
              <c:f>Sales!$D$2:$D$20</c:f>
              <c:numCache>
                <c:formatCode>General</c:formatCode>
                <c:ptCount val="19"/>
                <c:pt idx="0">
                  <c:v>1200000</c:v>
                </c:pt>
                <c:pt idx="1">
                  <c:v>3400000</c:v>
                </c:pt>
                <c:pt idx="2">
                  <c:v>2100000</c:v>
                </c:pt>
                <c:pt idx="3">
                  <c:v>4500000</c:v>
                </c:pt>
                <c:pt idx="4">
                  <c:v>3700000</c:v>
                </c:pt>
                <c:pt idx="5">
                  <c:v>5400000</c:v>
                </c:pt>
                <c:pt idx="6">
                  <c:v>7600000</c:v>
                </c:pt>
                <c:pt idx="7">
                  <c:v>6500000</c:v>
                </c:pt>
                <c:pt idx="8">
                  <c:v>8700000</c:v>
                </c:pt>
                <c:pt idx="9">
                  <c:v>5700000</c:v>
                </c:pt>
                <c:pt idx="10">
                  <c:v>1100000</c:v>
                </c:pt>
                <c:pt idx="11">
                  <c:v>6300000</c:v>
                </c:pt>
                <c:pt idx="12">
                  <c:v>2700000</c:v>
                </c:pt>
                <c:pt idx="13">
                  <c:v>3900000</c:v>
                </c:pt>
                <c:pt idx="14">
                  <c:v>9800000</c:v>
                </c:pt>
                <c:pt idx="15">
                  <c:v>7600000</c:v>
                </c:pt>
                <c:pt idx="16">
                  <c:v>6500000</c:v>
                </c:pt>
                <c:pt idx="17">
                  <c:v>8700000</c:v>
                </c:pt>
                <c:pt idx="18">
                  <c:v>5700000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8-408F-96CE-CC14A7CA958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1426071741032"/>
          <c:y val="0.18097222222222226"/>
          <c:w val="0.58750153105861769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Marketing!$B$1</c:f>
              <c:strCache>
                <c:ptCount val="1"/>
                <c:pt idx="0">
                  <c:v>Leads generated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Marketing!$B$2:$B$20</c:f>
              <c:numCache>
                <c:formatCode>General</c:formatCode>
                <c:ptCount val="19"/>
                <c:pt idx="0">
                  <c:v>250</c:v>
                </c:pt>
                <c:pt idx="1">
                  <c:v>180</c:v>
                </c:pt>
                <c:pt idx="2">
                  <c:v>320</c:v>
                </c:pt>
                <c:pt idx="3">
                  <c:v>150</c:v>
                </c:pt>
                <c:pt idx="4">
                  <c:v>400</c:v>
                </c:pt>
                <c:pt idx="5">
                  <c:v>210</c:v>
                </c:pt>
                <c:pt idx="6">
                  <c:v>530</c:v>
                </c:pt>
                <c:pt idx="7">
                  <c:v>730</c:v>
                </c:pt>
                <c:pt idx="8">
                  <c:v>170</c:v>
                </c:pt>
                <c:pt idx="9">
                  <c:v>790</c:v>
                </c:pt>
                <c:pt idx="10">
                  <c:v>430</c:v>
                </c:pt>
                <c:pt idx="11">
                  <c:v>610</c:v>
                </c:pt>
                <c:pt idx="12">
                  <c:v>270</c:v>
                </c:pt>
                <c:pt idx="13">
                  <c:v>860</c:v>
                </c:pt>
                <c:pt idx="14">
                  <c:v>940</c:v>
                </c:pt>
                <c:pt idx="15">
                  <c:v>730</c:v>
                </c:pt>
                <c:pt idx="16">
                  <c:v>170</c:v>
                </c:pt>
                <c:pt idx="17">
                  <c:v>610</c:v>
                </c:pt>
                <c:pt idx="18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7-45CE-8F85-DE2451CCFF8D}"/>
            </c:ext>
          </c:extLst>
        </c:ser>
        <c:ser>
          <c:idx val="1"/>
          <c:order val="1"/>
          <c:tx>
            <c:strRef>
              <c:f>Marketing!$C$1</c:f>
              <c:strCache>
                <c:ptCount val="1"/>
                <c:pt idx="0">
                  <c:v>Cost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Marketing!$C$2:$C$20</c:f>
              <c:numCache>
                <c:formatCode>General</c:formatCode>
                <c:ptCount val="19"/>
                <c:pt idx="0">
                  <c:v>45000</c:v>
                </c:pt>
                <c:pt idx="1">
                  <c:v>34000</c:v>
                </c:pt>
                <c:pt idx="2">
                  <c:v>25000</c:v>
                </c:pt>
                <c:pt idx="3">
                  <c:v>12000</c:v>
                </c:pt>
                <c:pt idx="4">
                  <c:v>54000</c:v>
                </c:pt>
                <c:pt idx="5">
                  <c:v>89000</c:v>
                </c:pt>
                <c:pt idx="6">
                  <c:v>50000</c:v>
                </c:pt>
                <c:pt idx="7">
                  <c:v>21000</c:v>
                </c:pt>
                <c:pt idx="8">
                  <c:v>67000</c:v>
                </c:pt>
                <c:pt idx="9">
                  <c:v>79000</c:v>
                </c:pt>
                <c:pt idx="10">
                  <c:v>48000</c:v>
                </c:pt>
                <c:pt idx="11">
                  <c:v>45000</c:v>
                </c:pt>
                <c:pt idx="12">
                  <c:v>11000</c:v>
                </c:pt>
                <c:pt idx="13">
                  <c:v>91000</c:v>
                </c:pt>
                <c:pt idx="14">
                  <c:v>37000</c:v>
                </c:pt>
                <c:pt idx="15">
                  <c:v>89000</c:v>
                </c:pt>
                <c:pt idx="16">
                  <c:v>50000</c:v>
                </c:pt>
                <c:pt idx="17">
                  <c:v>54000</c:v>
                </c:pt>
                <c:pt idx="18">
                  <c:v>89000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47-45CE-8F85-DE2451CC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790832"/>
        <c:axId val="817799472"/>
      </c:scatterChart>
      <c:valAx>
        <c:axId val="81779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99472"/>
        <c:crosses val="autoZero"/>
        <c:crossBetween val="midCat"/>
      </c:valAx>
      <c:valAx>
        <c:axId val="817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79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30468066491675"/>
          <c:y val="0.48226778944298632"/>
          <c:w val="0.21202865266841645"/>
          <c:h val="0.336806649168853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Finance!$A$1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Finance!$A$2:$A$20</c:f>
              <c:numCache>
                <c:formatCode>General</c:formatCode>
                <c:ptCount val="19"/>
                <c:pt idx="0">
                  <c:v>5000000</c:v>
                </c:pt>
                <c:pt idx="1">
                  <c:v>6000000</c:v>
                </c:pt>
                <c:pt idx="2">
                  <c:v>7000000</c:v>
                </c:pt>
                <c:pt idx="3">
                  <c:v>3000000</c:v>
                </c:pt>
                <c:pt idx="4">
                  <c:v>1000000</c:v>
                </c:pt>
                <c:pt idx="5">
                  <c:v>4000000</c:v>
                </c:pt>
                <c:pt idx="6">
                  <c:v>8000000</c:v>
                </c:pt>
                <c:pt idx="7">
                  <c:v>9000000</c:v>
                </c:pt>
                <c:pt idx="8">
                  <c:v>2000000</c:v>
                </c:pt>
                <c:pt idx="9">
                  <c:v>1100000</c:v>
                </c:pt>
                <c:pt idx="10">
                  <c:v>4500000</c:v>
                </c:pt>
                <c:pt idx="11">
                  <c:v>7600000</c:v>
                </c:pt>
                <c:pt idx="12">
                  <c:v>3400000</c:v>
                </c:pt>
                <c:pt idx="13">
                  <c:v>1200000</c:v>
                </c:pt>
                <c:pt idx="14">
                  <c:v>8700000</c:v>
                </c:pt>
                <c:pt idx="15">
                  <c:v>1100000</c:v>
                </c:pt>
                <c:pt idx="16">
                  <c:v>4500000</c:v>
                </c:pt>
                <c:pt idx="17">
                  <c:v>1000000</c:v>
                </c:pt>
                <c:pt idx="18">
                  <c:v>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5-4F95-B871-9995CFB137FE}"/>
            </c:ext>
          </c:extLst>
        </c:ser>
        <c:ser>
          <c:idx val="1"/>
          <c:order val="1"/>
          <c:tx>
            <c:strRef>
              <c:f>Finance!$B$1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Finance!$B$2:$B$20</c:f>
              <c:numCache>
                <c:formatCode>General</c:formatCode>
                <c:ptCount val="19"/>
                <c:pt idx="0">
                  <c:v>4000000</c:v>
                </c:pt>
                <c:pt idx="1">
                  <c:v>4800000</c:v>
                </c:pt>
                <c:pt idx="2">
                  <c:v>5600000</c:v>
                </c:pt>
                <c:pt idx="3">
                  <c:v>2400000</c:v>
                </c:pt>
                <c:pt idx="4">
                  <c:v>800000</c:v>
                </c:pt>
                <c:pt idx="5">
                  <c:v>3200000</c:v>
                </c:pt>
                <c:pt idx="6">
                  <c:v>6400000</c:v>
                </c:pt>
                <c:pt idx="7">
                  <c:v>7200000</c:v>
                </c:pt>
                <c:pt idx="8">
                  <c:v>1600000</c:v>
                </c:pt>
                <c:pt idx="9">
                  <c:v>880000</c:v>
                </c:pt>
                <c:pt idx="10">
                  <c:v>3600000</c:v>
                </c:pt>
                <c:pt idx="11">
                  <c:v>6080000</c:v>
                </c:pt>
                <c:pt idx="12">
                  <c:v>2720000</c:v>
                </c:pt>
                <c:pt idx="13">
                  <c:v>960000</c:v>
                </c:pt>
                <c:pt idx="14">
                  <c:v>6960000</c:v>
                </c:pt>
                <c:pt idx="15">
                  <c:v>880000</c:v>
                </c:pt>
                <c:pt idx="16">
                  <c:v>3600000</c:v>
                </c:pt>
                <c:pt idx="17">
                  <c:v>800000</c:v>
                </c:pt>
                <c:pt idx="18">
                  <c:v>3200000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5-4F95-B871-9995CFB13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18717456"/>
        <c:axId val="1418716016"/>
      </c:barChart>
      <c:catAx>
        <c:axId val="1418717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16016"/>
        <c:crosses val="autoZero"/>
        <c:auto val="1"/>
        <c:lblAlgn val="ctr"/>
        <c:lblOffset val="100"/>
        <c:noMultiLvlLbl val="0"/>
      </c:catAx>
      <c:valAx>
        <c:axId val="14187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1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228000</c:v>
              </c:pt>
              <c:pt idx="1">
                <c:v>214000</c:v>
              </c:pt>
              <c:pt idx="2">
                <c:v>210000</c:v>
              </c:pt>
              <c:pt idx="3">
                <c:v>216000</c:v>
              </c:pt>
              <c:pt idx="4">
                <c:v>187000</c:v>
              </c:pt>
            </c:numLit>
          </c:val>
          <c:extLst>
            <c:ext xmlns:c16="http://schemas.microsoft.com/office/drawing/2014/chart" uri="{C3380CC4-5D6E-409C-BE32-E72D297353CC}">
              <c16:uniqueId val="{00000000-DC96-43F0-A90D-96AFB7261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3661952"/>
        <c:axId val="1213664352"/>
      </c:barChart>
      <c:catAx>
        <c:axId val="12136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664352"/>
        <c:crosses val="autoZero"/>
        <c:auto val="1"/>
        <c:lblAlgn val="ctr"/>
        <c:lblOffset val="100"/>
        <c:noMultiLvlLbl val="0"/>
      </c:catAx>
      <c:valAx>
        <c:axId val="12136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66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Insurance!$C$1</c:f>
              <c:strCache>
                <c:ptCount val="1"/>
                <c:pt idx="0">
                  <c:v>Premium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Insurance!$C$2:$C$20</c:f>
              <c:numCache>
                <c:formatCode>General</c:formatCode>
                <c:ptCount val="19"/>
                <c:pt idx="0">
                  <c:v>15000</c:v>
                </c:pt>
                <c:pt idx="1">
                  <c:v>20000</c:v>
                </c:pt>
                <c:pt idx="2">
                  <c:v>34000</c:v>
                </c:pt>
                <c:pt idx="3">
                  <c:v>21000</c:v>
                </c:pt>
                <c:pt idx="4">
                  <c:v>30500</c:v>
                </c:pt>
                <c:pt idx="5">
                  <c:v>33700</c:v>
                </c:pt>
                <c:pt idx="6">
                  <c:v>36900</c:v>
                </c:pt>
                <c:pt idx="7">
                  <c:v>40100</c:v>
                </c:pt>
                <c:pt idx="8">
                  <c:v>43300</c:v>
                </c:pt>
                <c:pt idx="9">
                  <c:v>46500</c:v>
                </c:pt>
                <c:pt idx="10">
                  <c:v>49700</c:v>
                </c:pt>
                <c:pt idx="11">
                  <c:v>52900</c:v>
                </c:pt>
                <c:pt idx="12">
                  <c:v>56100</c:v>
                </c:pt>
                <c:pt idx="13">
                  <c:v>59300</c:v>
                </c:pt>
                <c:pt idx="14">
                  <c:v>62500</c:v>
                </c:pt>
                <c:pt idx="15">
                  <c:v>33700</c:v>
                </c:pt>
                <c:pt idx="16">
                  <c:v>36900</c:v>
                </c:pt>
                <c:pt idx="17">
                  <c:v>40100</c:v>
                </c:pt>
                <c:pt idx="18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7-496C-B857-3B7D6674C3E6}"/>
            </c:ext>
          </c:extLst>
        </c:ser>
        <c:ser>
          <c:idx val="1"/>
          <c:order val="1"/>
          <c:tx>
            <c:strRef>
              <c:f>Insurance!$D$1</c:f>
              <c:strCache>
                <c:ptCount val="1"/>
                <c:pt idx="0">
                  <c:v>Claim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Insurance!$D$2:$D$20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7000</c:v>
                </c:pt>
                <c:pt idx="3">
                  <c:v>0</c:v>
                </c:pt>
                <c:pt idx="4">
                  <c:v>4600</c:v>
                </c:pt>
                <c:pt idx="5">
                  <c:v>500</c:v>
                </c:pt>
                <c:pt idx="6">
                  <c:v>0</c:v>
                </c:pt>
                <c:pt idx="7">
                  <c:v>2100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900</c:v>
                </c:pt>
                <c:pt idx="12">
                  <c:v>0</c:v>
                </c:pt>
                <c:pt idx="13">
                  <c:v>15000</c:v>
                </c:pt>
                <c:pt idx="14">
                  <c:v>3700</c:v>
                </c:pt>
                <c:pt idx="15">
                  <c:v>0</c:v>
                </c:pt>
                <c:pt idx="16">
                  <c:v>2100</c:v>
                </c:pt>
                <c:pt idx="17">
                  <c:v>7000</c:v>
                </c:pt>
                <c:pt idx="18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07-496C-B857-3B7D6674C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8703536"/>
        <c:axId val="1418720336"/>
      </c:lineChart>
      <c:catAx>
        <c:axId val="1418703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20336"/>
        <c:crosses val="autoZero"/>
        <c:auto val="1"/>
        <c:lblAlgn val="ctr"/>
        <c:lblOffset val="100"/>
        <c:noMultiLvlLbl val="0"/>
      </c:catAx>
      <c:valAx>
        <c:axId val="14187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7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11</xdr:row>
      <xdr:rowOff>38100</xdr:rowOff>
    </xdr:from>
    <xdr:to>
      <xdr:col>17</xdr:col>
      <xdr:colOff>45720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D4885-FAC2-3399-7CBC-FFB514D4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3</xdr:row>
      <xdr:rowOff>102870</xdr:rowOff>
    </xdr:from>
    <xdr:to>
      <xdr:col>12</xdr:col>
      <xdr:colOff>266700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35931B-A4F9-D4CE-95E2-7C3446FCE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5</xdr:row>
      <xdr:rowOff>87630</xdr:rowOff>
    </xdr:from>
    <xdr:to>
      <xdr:col>12</xdr:col>
      <xdr:colOff>281940</xdr:colOff>
      <xdr:row>20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C016DF-C137-3CDD-15CA-92E15F61E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146241</xdr:colOff>
      <xdr:row>3</xdr:row>
      <xdr:rowOff>69273</xdr:rowOff>
    </xdr:from>
    <xdr:to>
      <xdr:col>13</xdr:col>
      <xdr:colOff>153938</xdr:colOff>
      <xdr:row>15</xdr:row>
      <xdr:rowOff>153940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D7EF3-2097-416A-8D87-08DC50627A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807720</xdr:colOff>
      <xdr:row>10</xdr:row>
      <xdr:rowOff>148590</xdr:rowOff>
    </xdr:from>
    <xdr:to>
      <xdr:col>13</xdr:col>
      <xdr:colOff>91440</xdr:colOff>
      <xdr:row>25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325F79-7C76-DB3F-5589-7EB96C0A1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Yadav" refreshedDate="46068.482806828702" createdVersion="8" refreshedVersion="8" minRefreshableVersion="3" recordCount="19" xr:uid="{9DF5F6E2-2205-4CCC-9392-D0F514EDCCA2}">
  <cacheSource type="worksheet">
    <worksheetSource ref="A1:E20" sheet="Sales"/>
  </cacheSource>
  <cacheFields count="5">
    <cacheField name="Date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 Amount" numFmtId="0">
      <sharedItems containsSemiMixedTypes="0" containsString="0" containsNumber="1" containsInteger="1" minValue="1100000" maxValue="9800000"/>
    </cacheField>
    <cacheField name="Profit" numFmtId="0">
      <sharedItems containsSemiMixedTypes="0" containsString="0" containsNumber="1" containsInteger="1" minValue="220000" maxValue="19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Yadav" refreshedDate="46069.199632060183" createdVersion="8" refreshedVersion="8" minRefreshableVersion="3" recordCount="19" xr:uid="{98A142C2-B19B-478C-9BC1-5245536D9F82}">
  <cacheSource type="worksheet">
    <worksheetSource ref="A1:D20" sheet="Finance"/>
  </cacheSource>
  <cacheFields count="4">
    <cacheField name="Revenue" numFmtId="0">
      <sharedItems containsSemiMixedTypes="0" containsString="0" containsNumber="1" containsInteger="1" minValue="1000000" maxValue="9000000"/>
    </cacheField>
    <cacheField name="Expenses" numFmtId="0">
      <sharedItems containsSemiMixedTypes="0" containsString="0" containsNumber="1" containsInteger="1" minValue="800000" maxValue="7200000"/>
    </cacheField>
    <cacheField name="Profit" numFmtId="0">
      <sharedItems containsSemiMixedTypes="0" containsString="0" containsNumber="1" containsInteger="1" minValue="200000" maxValue="1800000"/>
    </cacheField>
    <cacheField name="Budget vs Actual" numFmtId="0">
      <sharedItems containsSemiMixedTypes="0" containsString="0" containsNumber="1" minValue="0.72" maxValue="2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Yadav" refreshedDate="46069.232605092591" createdVersion="8" refreshedVersion="8" minRefreshableVersion="3" recordCount="19" xr:uid="{874B73C2-ECC1-486E-B174-DAB5F615A25C}">
  <cacheSource type="worksheet">
    <worksheetSource ref="A1:E20" sheet="HR"/>
  </cacheSource>
  <cacheFields count="5">
    <cacheField name="Employee ID" numFmtId="0">
      <sharedItems containsSemiMixedTypes="0" containsString="0" containsNumber="1" containsInteger="1" minValue="101" maxValue="116"/>
    </cacheField>
    <cacheField name="Department" numFmtId="0">
      <sharedItems count="5">
        <s v="Sales"/>
        <s v="Marketing"/>
        <s v="Finance"/>
        <s v="HR"/>
        <s v="IT"/>
      </sharedItems>
    </cacheField>
    <cacheField name="Salary" numFmtId="0">
      <sharedItems containsSemiMixedTypes="0" containsString="0" containsNumber="1" containsInteger="1" minValue="45000" maxValue="70000"/>
    </cacheField>
    <cacheField name="Experience" numFmtId="0">
      <sharedItems containsSemiMixedTypes="0" containsString="0" containsNumber="1" containsInteger="1" minValue="2" maxValue="6"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 Yadav" refreshedDate="46069.251629861108" createdVersion="8" refreshedVersion="8" minRefreshableVersion="3" recordCount="19" xr:uid="{287E8888-F8C8-468E-A7E5-15565FD1EFFE}">
  <cacheSource type="worksheet">
    <worksheetSource ref="A1:E20" sheet="Insurance"/>
  </cacheSource>
  <cacheFields count="5">
    <cacheField name="Policy Number" numFmtId="0">
      <sharedItems/>
    </cacheField>
    <cacheField name="Customer Age" numFmtId="0">
      <sharedItems containsSemiMixedTypes="0" containsString="0" containsNumber="1" containsInteger="1" minValue="18" maxValue="73"/>
    </cacheField>
    <cacheField name="Premium" numFmtId="0">
      <sharedItems containsSemiMixedTypes="0" containsString="0" containsNumber="1" containsInteger="1" minValue="15000" maxValue="62500"/>
    </cacheField>
    <cacheField name="Claim Amount" numFmtId="0">
      <sharedItems containsSemiMixedTypes="0" containsString="0" containsNumber="1" containsInteger="1" minValue="0" maxValue="15000"/>
    </cacheField>
    <cacheField name="Policy Type" numFmtId="0">
      <sharedItems count="4">
        <s v="Health"/>
        <s v="Life"/>
        <s v="Vehicle"/>
        <s v="H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01.10.2025"/>
    <s v="Smartphone"/>
    <x v="0"/>
    <n v="1200000"/>
    <n v="240000"/>
  </r>
  <r>
    <s v="09.10.2025"/>
    <s v="Laptop"/>
    <x v="1"/>
    <n v="3400000"/>
    <n v="680000"/>
  </r>
  <r>
    <s v="11.10.2025"/>
    <s v="Smartphone"/>
    <x v="2"/>
    <n v="2100000"/>
    <n v="420000"/>
  </r>
  <r>
    <s v="21.10.2025"/>
    <s v="camera"/>
    <x v="0"/>
    <n v="4500000"/>
    <n v="900000"/>
  </r>
  <r>
    <s v="25.10.2025"/>
    <s v="television"/>
    <x v="3"/>
    <n v="3700000"/>
    <n v="740000"/>
  </r>
  <r>
    <s v="02.11.2025"/>
    <s v="camera"/>
    <x v="1"/>
    <n v="5400000"/>
    <n v="1080000"/>
  </r>
  <r>
    <s v="10.11.2025"/>
    <s v="television"/>
    <x v="2"/>
    <n v="7600000"/>
    <n v="1520000"/>
  </r>
  <r>
    <s v="15.11.2025"/>
    <s v="camera"/>
    <x v="3"/>
    <n v="6500000"/>
    <n v="1300000"/>
  </r>
  <r>
    <s v="21.11.2025"/>
    <s v="Smartphone"/>
    <x v="1"/>
    <n v="8700000"/>
    <n v="1740000"/>
  </r>
  <r>
    <s v="29.11.2025"/>
    <s v="Laptop"/>
    <x v="0"/>
    <n v="5700000"/>
    <n v="1140000"/>
  </r>
  <r>
    <s v="05.12.2025"/>
    <s v="television"/>
    <x v="2"/>
    <n v="1100000"/>
    <n v="220000"/>
  </r>
  <r>
    <s v="08.12.2025"/>
    <s v="Smartphone"/>
    <x v="3"/>
    <n v="6300000"/>
    <n v="1260000"/>
  </r>
  <r>
    <s v="15.12.2025"/>
    <s v="television"/>
    <x v="1"/>
    <n v="2700000"/>
    <n v="540000"/>
  </r>
  <r>
    <s v="19.12.2025"/>
    <s v="camera"/>
    <x v="2"/>
    <n v="3900000"/>
    <n v="780000"/>
  </r>
  <r>
    <s v="31.12.2025"/>
    <s v="television"/>
    <x v="0"/>
    <n v="9800000"/>
    <n v="1960000"/>
  </r>
  <r>
    <s v="01.01.2026"/>
    <s v="television"/>
    <x v="2"/>
    <n v="7600000"/>
    <n v="1740000"/>
  </r>
  <r>
    <s v="02.01.2026"/>
    <s v="camera"/>
    <x v="3"/>
    <n v="6500000"/>
    <n v="1140000"/>
  </r>
  <r>
    <s v="03.01.2026"/>
    <s v="television"/>
    <x v="1"/>
    <n v="8700000"/>
    <n v="220000"/>
  </r>
  <r>
    <s v="04.01.2026"/>
    <s v="Smartphone"/>
    <x v="0"/>
    <n v="5700000"/>
    <n v="68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5000000"/>
    <n v="4000000"/>
    <n v="1000000"/>
    <n v="0.95"/>
  </r>
  <r>
    <n v="6000000"/>
    <n v="4800000"/>
    <n v="1200000"/>
    <n v="0.75"/>
  </r>
  <r>
    <n v="7000000"/>
    <n v="5600000"/>
    <n v="1400000"/>
    <n v="1.18"/>
  </r>
  <r>
    <n v="3000000"/>
    <n v="2400000"/>
    <n v="600000"/>
    <n v="0.8"/>
  </r>
  <r>
    <n v="1000000"/>
    <n v="800000"/>
    <n v="200000"/>
    <n v="0.9"/>
  </r>
  <r>
    <n v="4000000"/>
    <n v="3200000"/>
    <n v="800000"/>
    <n v="1.1000000000000001"/>
  </r>
  <r>
    <n v="8000000"/>
    <n v="6400000"/>
    <n v="1600000"/>
    <n v="0.72"/>
  </r>
  <r>
    <n v="9000000"/>
    <n v="7200000"/>
    <n v="1800000"/>
    <n v="1.2"/>
  </r>
  <r>
    <n v="2000000"/>
    <n v="1600000"/>
    <n v="400000"/>
    <n v="1.22"/>
  </r>
  <r>
    <n v="1100000"/>
    <n v="880000"/>
    <n v="220000"/>
    <n v="0.79"/>
  </r>
  <r>
    <n v="4500000"/>
    <n v="3600000"/>
    <n v="900000"/>
    <n v="0.99"/>
  </r>
  <r>
    <n v="7600000"/>
    <n v="6080000"/>
    <n v="1520000"/>
    <n v="2.1"/>
  </r>
  <r>
    <n v="3400000"/>
    <n v="2720000"/>
    <n v="680000"/>
    <n v="1.21"/>
  </r>
  <r>
    <n v="1200000"/>
    <n v="960000"/>
    <n v="240000"/>
    <n v="0.89"/>
  </r>
  <r>
    <n v="8700000"/>
    <n v="6960000"/>
    <n v="1740000"/>
    <n v="0.77"/>
  </r>
  <r>
    <n v="1100000"/>
    <n v="880000"/>
    <n v="220000"/>
    <n v="0.75"/>
  </r>
  <r>
    <n v="4500000"/>
    <n v="3600000"/>
    <n v="900000"/>
    <n v="1.18"/>
  </r>
  <r>
    <n v="1000000"/>
    <n v="800000"/>
    <n v="200000"/>
    <n v="0.8"/>
  </r>
  <r>
    <n v="4000000"/>
    <n v="3200000"/>
    <n v="800000"/>
    <n v="2.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01"/>
    <x v="0"/>
    <n v="45000"/>
    <n v="3"/>
    <x v="0"/>
  </r>
  <r>
    <n v="102"/>
    <x v="1"/>
    <n v="52000"/>
    <n v="5"/>
    <x v="1"/>
  </r>
  <r>
    <n v="103"/>
    <x v="2"/>
    <n v="60000"/>
    <n v="4"/>
    <x v="0"/>
  </r>
  <r>
    <n v="104"/>
    <x v="3"/>
    <n v="48000"/>
    <n v="6"/>
    <x v="0"/>
  </r>
  <r>
    <n v="105"/>
    <x v="4"/>
    <n v="70000"/>
    <n v="2"/>
    <x v="1"/>
  </r>
  <r>
    <n v="106"/>
    <x v="0"/>
    <n v="45000"/>
    <n v="3"/>
    <x v="0"/>
  </r>
  <r>
    <n v="107"/>
    <x v="1"/>
    <n v="52000"/>
    <n v="5"/>
    <x v="1"/>
  </r>
  <r>
    <n v="108"/>
    <x v="2"/>
    <n v="60000"/>
    <n v="4"/>
    <x v="0"/>
  </r>
  <r>
    <n v="109"/>
    <x v="3"/>
    <n v="48000"/>
    <n v="6"/>
    <x v="0"/>
  </r>
  <r>
    <n v="110"/>
    <x v="4"/>
    <n v="70000"/>
    <n v="2"/>
    <x v="1"/>
  </r>
  <r>
    <n v="111"/>
    <x v="0"/>
    <n v="45000"/>
    <n v="3"/>
    <x v="0"/>
  </r>
  <r>
    <n v="112"/>
    <x v="1"/>
    <n v="52000"/>
    <n v="5"/>
    <x v="1"/>
  </r>
  <r>
    <n v="113"/>
    <x v="2"/>
    <n v="60000"/>
    <n v="4"/>
    <x v="0"/>
  </r>
  <r>
    <n v="114"/>
    <x v="3"/>
    <n v="48000"/>
    <n v="6"/>
    <x v="0"/>
  </r>
  <r>
    <n v="115"/>
    <x v="4"/>
    <n v="70000"/>
    <n v="2"/>
    <x v="1"/>
  </r>
  <r>
    <n v="115"/>
    <x v="0"/>
    <n v="52000"/>
    <n v="6"/>
    <x v="0"/>
  </r>
  <r>
    <n v="115"/>
    <x v="1"/>
    <n v="60000"/>
    <n v="2"/>
    <x v="0"/>
  </r>
  <r>
    <n v="115"/>
    <x v="2"/>
    <n v="48000"/>
    <n v="3"/>
    <x v="1"/>
  </r>
  <r>
    <n v="116"/>
    <x v="3"/>
    <n v="70000"/>
    <n v="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P1001"/>
    <n v="23"/>
    <n v="15000"/>
    <n v="0"/>
    <x v="0"/>
  </r>
  <r>
    <s v="P1002"/>
    <n v="45"/>
    <n v="20000"/>
    <n v="0"/>
    <x v="1"/>
  </r>
  <r>
    <s v="P1003"/>
    <n v="34"/>
    <n v="34000"/>
    <n v="7000"/>
    <x v="2"/>
  </r>
  <r>
    <s v="P1004"/>
    <n v="18"/>
    <n v="21000"/>
    <n v="0"/>
    <x v="3"/>
  </r>
  <r>
    <s v="P1005"/>
    <n v="26"/>
    <n v="30500"/>
    <n v="4600"/>
    <x v="0"/>
  </r>
  <r>
    <s v="P1006"/>
    <n v="65"/>
    <n v="33700"/>
    <n v="500"/>
    <x v="1"/>
  </r>
  <r>
    <s v="P1007"/>
    <n v="73"/>
    <n v="36900"/>
    <n v="0"/>
    <x v="2"/>
  </r>
  <r>
    <s v="P1008"/>
    <n v="55"/>
    <n v="40100"/>
    <n v="2100"/>
    <x v="3"/>
  </r>
  <r>
    <s v="P1009"/>
    <n v="48"/>
    <n v="43300"/>
    <n v="0"/>
    <x v="0"/>
  </r>
  <r>
    <s v="P1010"/>
    <n v="35"/>
    <n v="46500"/>
    <n v="0"/>
    <x v="1"/>
  </r>
  <r>
    <s v="P1011"/>
    <n v="38"/>
    <n v="49700"/>
    <n v="0"/>
    <x v="2"/>
  </r>
  <r>
    <s v="P1012"/>
    <n v="21"/>
    <n v="52900"/>
    <n v="900"/>
    <x v="3"/>
  </r>
  <r>
    <s v="P1013"/>
    <n v="19"/>
    <n v="56100"/>
    <n v="0"/>
    <x v="0"/>
  </r>
  <r>
    <s v="P1014"/>
    <n v="20"/>
    <n v="59300"/>
    <n v="15000"/>
    <x v="1"/>
  </r>
  <r>
    <s v="P1015"/>
    <n v="52"/>
    <n v="62500"/>
    <n v="3700"/>
    <x v="2"/>
  </r>
  <r>
    <s v="P1016"/>
    <n v="73"/>
    <n v="33700"/>
    <n v="0"/>
    <x v="1"/>
  </r>
  <r>
    <s v="P1017"/>
    <n v="55"/>
    <n v="36900"/>
    <n v="2100"/>
    <x v="2"/>
  </r>
  <r>
    <s v="P1018"/>
    <n v="48"/>
    <n v="40100"/>
    <n v="7000"/>
    <x v="3"/>
  </r>
  <r>
    <s v="P1019"/>
    <n v="35"/>
    <n v="20000"/>
    <n v="9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B39D0-FE8D-4FFD-802D-AF0C3A7169A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9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AD0E3-4569-4655-B32C-F444831FB66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G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Expens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A9A60-92C3-4E43-9E28-41A2E40AA7A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17" firstHeaderRow="1" firstDataRow="1" firstDataCol="1"/>
  <pivotFields count="5"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1"/>
    <field x="4"/>
  </rowFields>
  <rowItems count="14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50FC7-3E01-41CB-99E6-6B5EB2CEFF4D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aim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C0A9-84DE-4BB4-98CD-F9678B1865B7}">
  <dimension ref="A1:I47"/>
  <sheetViews>
    <sheetView topLeftCell="A15" workbookViewId="0">
      <selection activeCell="N7" sqref="N7"/>
    </sheetView>
  </sheetViews>
  <sheetFormatPr defaultRowHeight="14.4" x14ac:dyDescent="0.3"/>
  <cols>
    <col min="1" max="1" width="13.77734375" customWidth="1"/>
    <col min="2" max="2" width="12" customWidth="1"/>
    <col min="3" max="3" width="12.33203125" customWidth="1"/>
    <col min="4" max="4" width="14.88671875" customWidth="1"/>
    <col min="5" max="5" width="12.109375" customWidth="1"/>
    <col min="8" max="8" width="12.88671875" customWidth="1"/>
    <col min="9" max="9" width="12.77734375" customWidth="1"/>
  </cols>
  <sheetData>
    <row r="1" spans="1:9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3">
      <c r="A2" s="7" t="s">
        <v>5</v>
      </c>
      <c r="B2" s="7" t="s">
        <v>6</v>
      </c>
      <c r="C2" s="7" t="s">
        <v>7</v>
      </c>
      <c r="D2" s="7">
        <v>1200000</v>
      </c>
      <c r="E2" s="7">
        <v>240000</v>
      </c>
    </row>
    <row r="3" spans="1:9" x14ac:dyDescent="0.3">
      <c r="A3" s="7" t="s">
        <v>8</v>
      </c>
      <c r="B3" s="7" t="s">
        <v>9</v>
      </c>
      <c r="C3" s="7" t="s">
        <v>10</v>
      </c>
      <c r="D3" s="7">
        <v>3400000</v>
      </c>
      <c r="E3" s="7">
        <v>680000</v>
      </c>
    </row>
    <row r="4" spans="1:9" x14ac:dyDescent="0.3">
      <c r="A4" s="7" t="s">
        <v>11</v>
      </c>
      <c r="B4" s="7" t="s">
        <v>6</v>
      </c>
      <c r="C4" s="7" t="s">
        <v>12</v>
      </c>
      <c r="D4" s="7">
        <v>2100000</v>
      </c>
      <c r="E4" s="7">
        <v>420000</v>
      </c>
      <c r="H4" s="10" t="s">
        <v>64</v>
      </c>
      <c r="I4" t="s">
        <v>66</v>
      </c>
    </row>
    <row r="5" spans="1:9" x14ac:dyDescent="0.3">
      <c r="A5" s="7" t="s">
        <v>13</v>
      </c>
      <c r="B5" s="7" t="s">
        <v>14</v>
      </c>
      <c r="C5" s="7" t="s">
        <v>7</v>
      </c>
      <c r="D5" s="7">
        <v>4500000</v>
      </c>
      <c r="E5" s="7">
        <v>900000</v>
      </c>
      <c r="H5" s="11" t="s">
        <v>10</v>
      </c>
      <c r="I5">
        <v>4260000</v>
      </c>
    </row>
    <row r="6" spans="1:9" x14ac:dyDescent="0.3">
      <c r="A6" s="7" t="s">
        <v>15</v>
      </c>
      <c r="B6" s="7" t="s">
        <v>16</v>
      </c>
      <c r="C6" s="7" t="s">
        <v>17</v>
      </c>
      <c r="D6" s="7">
        <v>3700000</v>
      </c>
      <c r="E6" s="7">
        <v>740000</v>
      </c>
      <c r="H6" s="11" t="s">
        <v>7</v>
      </c>
      <c r="I6">
        <v>4920000</v>
      </c>
    </row>
    <row r="7" spans="1:9" x14ac:dyDescent="0.3">
      <c r="A7" s="7" t="s">
        <v>18</v>
      </c>
      <c r="B7" s="7" t="s">
        <v>14</v>
      </c>
      <c r="C7" s="7" t="s">
        <v>10</v>
      </c>
      <c r="D7" s="7">
        <v>5400000</v>
      </c>
      <c r="E7" s="7">
        <v>1080000</v>
      </c>
      <c r="H7" s="11" t="s">
        <v>12</v>
      </c>
      <c r="I7">
        <v>4680000</v>
      </c>
    </row>
    <row r="8" spans="1:9" x14ac:dyDescent="0.3">
      <c r="A8" s="7" t="s">
        <v>19</v>
      </c>
      <c r="B8" s="7" t="s">
        <v>16</v>
      </c>
      <c r="C8" s="7" t="s">
        <v>12</v>
      </c>
      <c r="D8" s="7">
        <v>7600000</v>
      </c>
      <c r="E8" s="7">
        <v>1520000</v>
      </c>
      <c r="H8" s="11" t="s">
        <v>17</v>
      </c>
      <c r="I8">
        <v>4440000</v>
      </c>
    </row>
    <row r="9" spans="1:9" x14ac:dyDescent="0.3">
      <c r="A9" s="7" t="s">
        <v>20</v>
      </c>
      <c r="B9" s="7" t="s">
        <v>14</v>
      </c>
      <c r="C9" s="7" t="s">
        <v>17</v>
      </c>
      <c r="D9" s="7">
        <v>6500000</v>
      </c>
      <c r="E9" s="7">
        <v>1300000</v>
      </c>
      <c r="H9" s="11" t="s">
        <v>65</v>
      </c>
      <c r="I9">
        <v>18300000</v>
      </c>
    </row>
    <row r="10" spans="1:9" x14ac:dyDescent="0.3">
      <c r="A10" s="7" t="s">
        <v>21</v>
      </c>
      <c r="B10" s="7" t="s">
        <v>6</v>
      </c>
      <c r="C10" s="7" t="s">
        <v>10</v>
      </c>
      <c r="D10" s="7">
        <v>8700000</v>
      </c>
      <c r="E10" s="7">
        <v>1740000</v>
      </c>
    </row>
    <row r="11" spans="1:9" x14ac:dyDescent="0.3">
      <c r="A11" s="7" t="s">
        <v>22</v>
      </c>
      <c r="B11" s="7" t="s">
        <v>9</v>
      </c>
      <c r="C11" s="7" t="s">
        <v>7</v>
      </c>
      <c r="D11" s="7">
        <v>5700000</v>
      </c>
      <c r="E11" s="7">
        <v>1140000</v>
      </c>
    </row>
    <row r="12" spans="1:9" x14ac:dyDescent="0.3">
      <c r="A12" s="7" t="s">
        <v>23</v>
      </c>
      <c r="B12" s="7" t="s">
        <v>16</v>
      </c>
      <c r="C12" s="7" t="s">
        <v>12</v>
      </c>
      <c r="D12" s="7">
        <v>1100000</v>
      </c>
      <c r="E12" s="7">
        <v>220000</v>
      </c>
    </row>
    <row r="13" spans="1:9" x14ac:dyDescent="0.3">
      <c r="A13" s="7" t="s">
        <v>24</v>
      </c>
      <c r="B13" s="7" t="s">
        <v>6</v>
      </c>
      <c r="C13" s="7" t="s">
        <v>17</v>
      </c>
      <c r="D13" s="7">
        <v>6300000</v>
      </c>
      <c r="E13" s="7">
        <v>1260000</v>
      </c>
    </row>
    <row r="14" spans="1:9" x14ac:dyDescent="0.3">
      <c r="A14" s="7" t="s">
        <v>25</v>
      </c>
      <c r="B14" s="7" t="s">
        <v>16</v>
      </c>
      <c r="C14" s="7" t="s">
        <v>10</v>
      </c>
      <c r="D14" s="7">
        <v>2700000</v>
      </c>
      <c r="E14" s="7">
        <v>540000</v>
      </c>
    </row>
    <row r="15" spans="1:9" x14ac:dyDescent="0.3">
      <c r="A15" s="7" t="s">
        <v>26</v>
      </c>
      <c r="B15" s="7" t="s">
        <v>14</v>
      </c>
      <c r="C15" s="7" t="s">
        <v>12</v>
      </c>
      <c r="D15" s="7">
        <v>3900000</v>
      </c>
      <c r="E15" s="7">
        <v>780000</v>
      </c>
    </row>
    <row r="16" spans="1:9" x14ac:dyDescent="0.3">
      <c r="A16" s="7" t="s">
        <v>27</v>
      </c>
      <c r="B16" s="7" t="s">
        <v>16</v>
      </c>
      <c r="C16" s="7" t="s">
        <v>7</v>
      </c>
      <c r="D16" s="7">
        <v>9800000</v>
      </c>
      <c r="E16" s="7">
        <v>1960000</v>
      </c>
    </row>
    <row r="17" spans="1:7" x14ac:dyDescent="0.3">
      <c r="A17" s="7" t="s">
        <v>60</v>
      </c>
      <c r="B17" s="7" t="s">
        <v>16</v>
      </c>
      <c r="C17" s="7" t="s">
        <v>12</v>
      </c>
      <c r="D17" s="7">
        <v>7600000</v>
      </c>
      <c r="E17" s="7">
        <v>1740000</v>
      </c>
    </row>
    <row r="18" spans="1:7" x14ac:dyDescent="0.3">
      <c r="A18" s="7" t="s">
        <v>61</v>
      </c>
      <c r="B18" s="7" t="s">
        <v>14</v>
      </c>
      <c r="C18" s="7" t="s">
        <v>17</v>
      </c>
      <c r="D18" s="7">
        <v>6500000</v>
      </c>
      <c r="E18" s="7">
        <v>1140000</v>
      </c>
    </row>
    <row r="19" spans="1:7" x14ac:dyDescent="0.3">
      <c r="A19" s="7" t="s">
        <v>62</v>
      </c>
      <c r="B19" s="7" t="s">
        <v>16</v>
      </c>
      <c r="C19" s="7" t="s">
        <v>10</v>
      </c>
      <c r="D19" s="7">
        <v>8700000</v>
      </c>
      <c r="E19" s="7">
        <v>220000</v>
      </c>
    </row>
    <row r="20" spans="1:7" x14ac:dyDescent="0.3">
      <c r="A20" s="7" t="s">
        <v>63</v>
      </c>
      <c r="B20" s="7" t="s">
        <v>6</v>
      </c>
      <c r="C20" s="7" t="s">
        <v>7</v>
      </c>
      <c r="D20" s="7">
        <v>5700000</v>
      </c>
      <c r="E20" s="7">
        <v>680000</v>
      </c>
    </row>
    <row r="22" spans="1:7" ht="15.6" x14ac:dyDescent="0.3">
      <c r="A22" s="22" t="s">
        <v>28</v>
      </c>
      <c r="B22" s="22"/>
      <c r="C22" s="22"/>
      <c r="E22" s="22" t="s">
        <v>50</v>
      </c>
      <c r="F22" s="22"/>
      <c r="G22" s="22"/>
    </row>
    <row r="23" spans="1:7" x14ac:dyDescent="0.3">
      <c r="A23" s="23" t="s">
        <v>29</v>
      </c>
      <c r="B23" s="23"/>
      <c r="C23" s="8">
        <f>SUM(D2:D20)</f>
        <v>101100000</v>
      </c>
      <c r="E23" s="23" t="s">
        <v>51</v>
      </c>
      <c r="F23" s="23"/>
      <c r="G23" s="8">
        <f>VLOOKUP(A5,A2:E5, 4,FALSE)</f>
        <v>4500000</v>
      </c>
    </row>
    <row r="24" spans="1:7" x14ac:dyDescent="0.3">
      <c r="A24" s="23" t="s">
        <v>30</v>
      </c>
      <c r="B24" s="23"/>
      <c r="C24" s="8">
        <f>AVERAGE(D2:D20)</f>
        <v>5321052.6315789474</v>
      </c>
      <c r="E24" s="23" t="s">
        <v>52</v>
      </c>
      <c r="F24" s="23"/>
      <c r="G24" s="8" t="str">
        <f>HLOOKUP(B4,A2:E16,4,FALSE)</f>
        <v>camera</v>
      </c>
    </row>
    <row r="25" spans="1:7" x14ac:dyDescent="0.3">
      <c r="A25" s="23" t="s">
        <v>31</v>
      </c>
      <c r="B25" s="23"/>
      <c r="C25" s="8">
        <f>MIN(D2:D20)</f>
        <v>1100000</v>
      </c>
      <c r="E25" s="23" t="s">
        <v>53</v>
      </c>
      <c r="F25" s="23"/>
      <c r="G25" s="8"/>
    </row>
    <row r="26" spans="1:7" x14ac:dyDescent="0.3">
      <c r="A26" s="23" t="s">
        <v>32</v>
      </c>
      <c r="B26" s="23"/>
      <c r="C26" s="8">
        <f>MAX(D2:D20)</f>
        <v>9800000</v>
      </c>
    </row>
    <row r="27" spans="1:7" x14ac:dyDescent="0.3">
      <c r="A27" s="23" t="s">
        <v>33</v>
      </c>
      <c r="B27" s="23"/>
      <c r="C27" s="8">
        <f>COUNT(D2:D20)</f>
        <v>19</v>
      </c>
    </row>
    <row r="28" spans="1:7" ht="15.6" x14ac:dyDescent="0.3">
      <c r="A28" s="9"/>
      <c r="B28" s="9"/>
      <c r="C28" s="9"/>
      <c r="E28" s="22" t="s">
        <v>54</v>
      </c>
      <c r="F28" s="22"/>
      <c r="G28" s="22"/>
    </row>
    <row r="29" spans="1:7" ht="15.6" x14ac:dyDescent="0.3">
      <c r="A29" s="22" t="s">
        <v>34</v>
      </c>
      <c r="B29" s="22"/>
      <c r="C29" s="22"/>
      <c r="E29" s="18" t="s">
        <v>55</v>
      </c>
      <c r="F29" s="18"/>
      <c r="G29" s="3">
        <f>AVERAGE(E2:E20)</f>
        <v>963157.89473684214</v>
      </c>
    </row>
    <row r="30" spans="1:7" x14ac:dyDescent="0.3">
      <c r="A30" s="18" t="s">
        <v>35</v>
      </c>
      <c r="B30" s="18"/>
      <c r="C30" s="3" t="str">
        <f>IF(D2&gt;100000,"SATISFYING","NOT SATISFYING")</f>
        <v>SATISFYING</v>
      </c>
      <c r="E30" s="18" t="s">
        <v>56</v>
      </c>
      <c r="F30" s="18"/>
      <c r="G30" s="3">
        <f>MEDIAN(D2:D20)</f>
        <v>5700000</v>
      </c>
    </row>
    <row r="31" spans="1:7" x14ac:dyDescent="0.3">
      <c r="A31" s="18" t="s">
        <v>36</v>
      </c>
      <c r="B31" s="18"/>
      <c r="C31" s="3" t="b">
        <f>AND(D2&gt;1000000,B2="Smartphone")</f>
        <v>1</v>
      </c>
      <c r="E31" s="18" t="s">
        <v>57</v>
      </c>
      <c r="F31" s="18"/>
      <c r="G31" s="3">
        <f>MODE(D2:D20)</f>
        <v>7600000</v>
      </c>
    </row>
    <row r="32" spans="1:7" x14ac:dyDescent="0.3">
      <c r="A32" s="18" t="s">
        <v>37</v>
      </c>
      <c r="B32" s="18"/>
      <c r="C32" s="3" t="b">
        <f>OR(D8&lt;200000,B8="camera")</f>
        <v>0</v>
      </c>
      <c r="E32" s="18" t="s">
        <v>58</v>
      </c>
      <c r="F32" s="18"/>
      <c r="G32" s="3">
        <f>STDEV(E2:E20)</f>
        <v>534260.15959329682</v>
      </c>
    </row>
    <row r="33" spans="1:7" x14ac:dyDescent="0.3">
      <c r="E33" s="18" t="s">
        <v>59</v>
      </c>
      <c r="F33" s="18"/>
      <c r="G33" s="3">
        <f>CORREL(D2:D20,E2:E20)</f>
        <v>0.75733536456412887</v>
      </c>
    </row>
    <row r="34" spans="1:7" ht="15.6" x14ac:dyDescent="0.3">
      <c r="A34" s="19" t="s">
        <v>38</v>
      </c>
      <c r="B34" s="20"/>
      <c r="C34" s="21"/>
    </row>
    <row r="35" spans="1:7" x14ac:dyDescent="0.3">
      <c r="A35" s="18" t="s">
        <v>39</v>
      </c>
      <c r="B35" s="18"/>
      <c r="C35" s="3" t="str">
        <f>LEFT(B17,3)</f>
        <v>tel</v>
      </c>
    </row>
    <row r="36" spans="1:7" x14ac:dyDescent="0.3">
      <c r="A36" s="18" t="s">
        <v>40</v>
      </c>
      <c r="B36" s="18"/>
      <c r="C36" s="3" t="str">
        <f>RIGHT(B17,3)</f>
        <v>ion</v>
      </c>
    </row>
    <row r="37" spans="1:7" x14ac:dyDescent="0.3">
      <c r="A37" s="18" t="s">
        <v>41</v>
      </c>
      <c r="B37" s="18"/>
      <c r="C37" s="3" t="str">
        <f>MID(B17,3,3)</f>
        <v>lev</v>
      </c>
    </row>
    <row r="38" spans="1:7" x14ac:dyDescent="0.3">
      <c r="A38" s="18" t="s">
        <v>42</v>
      </c>
      <c r="B38" s="18"/>
      <c r="C38" s="3" t="str">
        <f>CONCATENATE(B14," ",C14)</f>
        <v>television East</v>
      </c>
    </row>
    <row r="40" spans="1:7" ht="15.6" x14ac:dyDescent="0.3">
      <c r="A40" s="22" t="s">
        <v>43</v>
      </c>
      <c r="B40" s="22"/>
      <c r="C40" s="22"/>
    </row>
    <row r="41" spans="1:7" x14ac:dyDescent="0.3">
      <c r="A41" s="18" t="s">
        <v>44</v>
      </c>
      <c r="B41" s="18"/>
      <c r="C41" s="4">
        <f ca="1">TODAY()</f>
        <v>46071</v>
      </c>
    </row>
    <row r="42" spans="1:7" x14ac:dyDescent="0.3">
      <c r="A42" s="18" t="s">
        <v>45</v>
      </c>
      <c r="B42" s="18"/>
      <c r="C42" s="5">
        <f ca="1">NOW()</f>
        <v>46071.227421296295</v>
      </c>
    </row>
    <row r="43" spans="1:7" x14ac:dyDescent="0.3">
      <c r="A43" s="18" t="s">
        <v>46</v>
      </c>
      <c r="B43" s="18"/>
      <c r="C43" s="3"/>
    </row>
    <row r="45" spans="1:7" ht="15.6" x14ac:dyDescent="0.3">
      <c r="A45" s="19" t="s">
        <v>47</v>
      </c>
      <c r="B45" s="20"/>
      <c r="C45" s="21"/>
    </row>
    <row r="46" spans="1:7" x14ac:dyDescent="0.3">
      <c r="A46" s="18" t="s">
        <v>48</v>
      </c>
      <c r="B46" s="18"/>
      <c r="C46" s="6">
        <f>PMT(5%/12, 60, C23)</f>
        <v>-1907881.7214095055</v>
      </c>
    </row>
    <row r="47" spans="1:7" x14ac:dyDescent="0.3">
      <c r="A47" s="18" t="s">
        <v>49</v>
      </c>
      <c r="B47" s="18"/>
      <c r="C47" s="6">
        <f>NPV(5%,E2:E20)</f>
        <v>11224295.442293128</v>
      </c>
    </row>
  </sheetData>
  <mergeCells count="32">
    <mergeCell ref="A41:B41"/>
    <mergeCell ref="A32:B32"/>
    <mergeCell ref="A34:C34"/>
    <mergeCell ref="A25:B25"/>
    <mergeCell ref="A26:B26"/>
    <mergeCell ref="A27:B27"/>
    <mergeCell ref="A29:C29"/>
    <mergeCell ref="A30:B30"/>
    <mergeCell ref="A31:B31"/>
    <mergeCell ref="A35:B35"/>
    <mergeCell ref="A36:B36"/>
    <mergeCell ref="A37:B37"/>
    <mergeCell ref="A38:B38"/>
    <mergeCell ref="A40:C40"/>
    <mergeCell ref="E22:G22"/>
    <mergeCell ref="E23:F23"/>
    <mergeCell ref="E24:F24"/>
    <mergeCell ref="E25:F25"/>
    <mergeCell ref="E28:G28"/>
    <mergeCell ref="E29:F29"/>
    <mergeCell ref="E30:F30"/>
    <mergeCell ref="E31:F31"/>
    <mergeCell ref="E32:F32"/>
    <mergeCell ref="E33:F33"/>
    <mergeCell ref="A23:B23"/>
    <mergeCell ref="A24:B24"/>
    <mergeCell ref="A22:C22"/>
    <mergeCell ref="A42:B42"/>
    <mergeCell ref="A43:B43"/>
    <mergeCell ref="A45:C45"/>
    <mergeCell ref="A46:B46"/>
    <mergeCell ref="A47:B47"/>
  </mergeCells>
  <phoneticPr fontId="3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D1CD-C38B-4B5C-A172-B10100382E54}">
  <dimension ref="A1:G43"/>
  <sheetViews>
    <sheetView workbookViewId="0">
      <selection activeCell="M26" sqref="M26"/>
    </sheetView>
  </sheetViews>
  <sheetFormatPr defaultRowHeight="14.4" x14ac:dyDescent="0.3"/>
  <cols>
    <col min="1" max="1" width="16.21875" customWidth="1"/>
    <col min="2" max="2" width="19" customWidth="1"/>
    <col min="3" max="3" width="13.77734375" customWidth="1"/>
    <col min="4" max="4" width="19.77734375" customWidth="1"/>
    <col min="5" max="5" width="11.44140625" customWidth="1"/>
    <col min="6" max="6" width="10.109375" customWidth="1"/>
    <col min="7" max="7" width="11.6640625" customWidth="1"/>
  </cols>
  <sheetData>
    <row r="1" spans="1:4" ht="18" x14ac:dyDescent="0.3">
      <c r="A1" s="12" t="s">
        <v>67</v>
      </c>
      <c r="B1" s="12" t="s">
        <v>68</v>
      </c>
      <c r="C1" s="12" t="s">
        <v>69</v>
      </c>
      <c r="D1" s="12" t="s">
        <v>70</v>
      </c>
    </row>
    <row r="2" spans="1:4" x14ac:dyDescent="0.3">
      <c r="A2" s="1" t="s">
        <v>71</v>
      </c>
      <c r="B2" s="1">
        <v>250</v>
      </c>
      <c r="C2" s="1">
        <v>45000</v>
      </c>
      <c r="D2" s="1">
        <v>0.15</v>
      </c>
    </row>
    <row r="3" spans="1:4" x14ac:dyDescent="0.3">
      <c r="A3" s="1" t="s">
        <v>72</v>
      </c>
      <c r="B3" s="1">
        <v>180</v>
      </c>
      <c r="C3" s="1">
        <v>34000</v>
      </c>
      <c r="D3" s="1">
        <v>0.14000000000000001</v>
      </c>
    </row>
    <row r="4" spans="1:4" x14ac:dyDescent="0.3">
      <c r="A4" s="1" t="s">
        <v>73</v>
      </c>
      <c r="B4" s="1">
        <v>320</v>
      </c>
      <c r="C4" s="1">
        <v>25000</v>
      </c>
      <c r="D4" s="1">
        <v>0.6</v>
      </c>
    </row>
    <row r="5" spans="1:4" x14ac:dyDescent="0.3">
      <c r="A5" s="1" t="s">
        <v>74</v>
      </c>
      <c r="B5" s="1">
        <v>150</v>
      </c>
      <c r="C5" s="1">
        <v>12000</v>
      </c>
      <c r="D5" s="1">
        <v>0.1</v>
      </c>
    </row>
    <row r="6" spans="1:4" x14ac:dyDescent="0.3">
      <c r="A6" s="1" t="s">
        <v>75</v>
      </c>
      <c r="B6" s="1">
        <v>400</v>
      </c>
      <c r="C6" s="1">
        <v>54000</v>
      </c>
      <c r="D6" s="1">
        <v>0.12</v>
      </c>
    </row>
    <row r="7" spans="1:4" x14ac:dyDescent="0.3">
      <c r="A7" s="1" t="s">
        <v>76</v>
      </c>
      <c r="B7" s="1">
        <v>210</v>
      </c>
      <c r="C7" s="1">
        <v>89000</v>
      </c>
      <c r="D7" s="1">
        <v>0.7</v>
      </c>
    </row>
    <row r="8" spans="1:4" x14ac:dyDescent="0.3">
      <c r="A8" s="1" t="s">
        <v>77</v>
      </c>
      <c r="B8" s="1">
        <v>530</v>
      </c>
      <c r="C8" s="1">
        <v>50000</v>
      </c>
      <c r="D8" s="1">
        <v>0.3</v>
      </c>
    </row>
    <row r="9" spans="1:4" x14ac:dyDescent="0.3">
      <c r="A9" s="1" t="s">
        <v>78</v>
      </c>
      <c r="B9" s="1">
        <v>730</v>
      </c>
      <c r="C9" s="1">
        <v>21000</v>
      </c>
      <c r="D9" s="1">
        <v>0.13</v>
      </c>
    </row>
    <row r="10" spans="1:4" x14ac:dyDescent="0.3">
      <c r="A10" s="1" t="s">
        <v>79</v>
      </c>
      <c r="B10" s="1">
        <v>170</v>
      </c>
      <c r="C10" s="1">
        <v>67000</v>
      </c>
      <c r="D10" s="1">
        <v>0.9</v>
      </c>
    </row>
    <row r="11" spans="1:4" x14ac:dyDescent="0.3">
      <c r="A11" s="1" t="s">
        <v>80</v>
      </c>
      <c r="B11" s="1">
        <v>790</v>
      </c>
      <c r="C11" s="1">
        <v>79000</v>
      </c>
      <c r="D11" s="1">
        <v>0.2</v>
      </c>
    </row>
    <row r="12" spans="1:4" x14ac:dyDescent="0.3">
      <c r="A12" s="1" t="s">
        <v>81</v>
      </c>
      <c r="B12" s="1">
        <v>430</v>
      </c>
      <c r="C12" s="1">
        <v>48000</v>
      </c>
      <c r="D12" s="1">
        <v>0.8</v>
      </c>
    </row>
    <row r="13" spans="1:4" x14ac:dyDescent="0.3">
      <c r="A13" s="1" t="s">
        <v>82</v>
      </c>
      <c r="B13" s="1">
        <v>610</v>
      </c>
      <c r="C13" s="1">
        <v>45000</v>
      </c>
      <c r="D13" s="1">
        <v>0.4</v>
      </c>
    </row>
    <row r="14" spans="1:4" x14ac:dyDescent="0.3">
      <c r="A14" s="1" t="s">
        <v>83</v>
      </c>
      <c r="B14" s="1">
        <v>270</v>
      </c>
      <c r="C14" s="1">
        <v>11000</v>
      </c>
      <c r="D14" s="1">
        <v>0.5</v>
      </c>
    </row>
    <row r="15" spans="1:4" x14ac:dyDescent="0.3">
      <c r="A15" s="1" t="s">
        <v>84</v>
      </c>
      <c r="B15" s="1">
        <v>860</v>
      </c>
      <c r="C15" s="1">
        <v>91000</v>
      </c>
      <c r="D15" s="1">
        <v>0.16</v>
      </c>
    </row>
    <row r="16" spans="1:4" x14ac:dyDescent="0.3">
      <c r="A16" s="1" t="s">
        <v>85</v>
      </c>
      <c r="B16" s="1">
        <v>940</v>
      </c>
      <c r="C16" s="1">
        <v>37000</v>
      </c>
      <c r="D16" s="1">
        <v>0.11</v>
      </c>
    </row>
    <row r="17" spans="1:7" x14ac:dyDescent="0.3">
      <c r="A17" s="1" t="s">
        <v>72</v>
      </c>
      <c r="B17" s="1">
        <v>730</v>
      </c>
      <c r="C17" s="1">
        <v>89000</v>
      </c>
      <c r="D17" s="1">
        <v>0.4</v>
      </c>
    </row>
    <row r="18" spans="1:7" x14ac:dyDescent="0.3">
      <c r="A18" s="1" t="s">
        <v>73</v>
      </c>
      <c r="B18" s="1">
        <v>170</v>
      </c>
      <c r="C18" s="1">
        <v>50000</v>
      </c>
      <c r="D18" s="1">
        <v>0.5</v>
      </c>
    </row>
    <row r="19" spans="1:7" x14ac:dyDescent="0.3">
      <c r="A19" s="1" t="s">
        <v>80</v>
      </c>
      <c r="B19" s="1">
        <v>610</v>
      </c>
      <c r="C19" s="1">
        <v>54000</v>
      </c>
      <c r="D19" s="1">
        <v>0.13</v>
      </c>
    </row>
    <row r="20" spans="1:7" x14ac:dyDescent="0.3">
      <c r="A20" s="1" t="s">
        <v>81</v>
      </c>
      <c r="B20" s="1">
        <v>270</v>
      </c>
      <c r="C20" s="1">
        <v>89000</v>
      </c>
      <c r="D20" s="1">
        <v>0.9</v>
      </c>
    </row>
    <row r="22" spans="1:7" ht="15.6" x14ac:dyDescent="0.3">
      <c r="A22" s="24" t="s">
        <v>28</v>
      </c>
      <c r="B22" s="24"/>
      <c r="C22" s="24"/>
      <c r="E22" s="25" t="s">
        <v>47</v>
      </c>
      <c r="F22" s="26"/>
      <c r="G22" s="27"/>
    </row>
    <row r="23" spans="1:7" x14ac:dyDescent="0.3">
      <c r="A23" s="18" t="s">
        <v>29</v>
      </c>
      <c r="B23" s="18"/>
      <c r="C23" s="3">
        <f>SUM(C2:C20)</f>
        <v>990000</v>
      </c>
      <c r="E23" s="18" t="s">
        <v>48</v>
      </c>
      <c r="F23" s="18"/>
      <c r="G23" s="6">
        <f xml:space="preserve"> PMT(5%/12, 60,C23)</f>
        <v>-18682.521307570823</v>
      </c>
    </row>
    <row r="24" spans="1:7" x14ac:dyDescent="0.3">
      <c r="A24" s="18" t="s">
        <v>30</v>
      </c>
      <c r="B24" s="18"/>
      <c r="C24" s="3">
        <f>AVERAGE(C2:C20)</f>
        <v>52105.26315789474</v>
      </c>
      <c r="E24" s="18" t="s">
        <v>49</v>
      </c>
      <c r="F24" s="18"/>
      <c r="G24" s="6">
        <f>NPV(5%,C2:C20)</f>
        <v>598283.57387918246</v>
      </c>
    </row>
    <row r="25" spans="1:7" x14ac:dyDescent="0.3">
      <c r="A25" s="18" t="s">
        <v>31</v>
      </c>
      <c r="B25" s="18"/>
      <c r="C25" s="3">
        <f>MIN(C2:C20)</f>
        <v>11000</v>
      </c>
    </row>
    <row r="26" spans="1:7" ht="15.6" x14ac:dyDescent="0.3">
      <c r="A26" s="18" t="s">
        <v>32</v>
      </c>
      <c r="B26" s="18"/>
      <c r="C26" s="3">
        <f>MAX(C2:C20)</f>
        <v>91000</v>
      </c>
      <c r="E26" s="24" t="s">
        <v>50</v>
      </c>
      <c r="F26" s="24"/>
      <c r="G26" s="24"/>
    </row>
    <row r="27" spans="1:7" x14ac:dyDescent="0.3">
      <c r="A27" s="18" t="s">
        <v>33</v>
      </c>
      <c r="B27" s="18"/>
      <c r="C27" s="3">
        <f>COUNT(C2:C20)</f>
        <v>19</v>
      </c>
      <c r="E27" s="18" t="s">
        <v>51</v>
      </c>
      <c r="F27" s="18"/>
      <c r="G27" s="3">
        <f>VLOOKUP(A6,A2:D20,4,FALSE)</f>
        <v>0.12</v>
      </c>
    </row>
    <row r="28" spans="1:7" x14ac:dyDescent="0.3">
      <c r="E28" s="18" t="s">
        <v>52</v>
      </c>
      <c r="F28" s="18"/>
      <c r="G28" s="3">
        <f>HLOOKUP(B2,A2:D20,5,FALSE)</f>
        <v>400</v>
      </c>
    </row>
    <row r="29" spans="1:7" ht="15.6" x14ac:dyDescent="0.3">
      <c r="A29" s="24" t="s">
        <v>34</v>
      </c>
      <c r="B29" s="24"/>
      <c r="C29" s="24"/>
      <c r="E29" s="18" t="s">
        <v>53</v>
      </c>
      <c r="F29" s="18"/>
      <c r="G29" s="3"/>
    </row>
    <row r="30" spans="1:7" x14ac:dyDescent="0.3">
      <c r="A30" s="18" t="s">
        <v>35</v>
      </c>
      <c r="B30" s="18"/>
      <c r="C30" s="3" t="str">
        <f>IF(E6&gt;10000,"SATISFYING","NOT SATISFYING")</f>
        <v>NOT SATISFYING</v>
      </c>
    </row>
    <row r="31" spans="1:7" ht="15.6" x14ac:dyDescent="0.3">
      <c r="A31" s="18" t="s">
        <v>36</v>
      </c>
      <c r="B31" s="18"/>
      <c r="C31" s="3" t="b">
        <f>AND(E6&gt;100000,B6="100")</f>
        <v>0</v>
      </c>
      <c r="E31" s="24" t="s">
        <v>54</v>
      </c>
      <c r="F31" s="24"/>
      <c r="G31" s="24"/>
    </row>
    <row r="32" spans="1:7" x14ac:dyDescent="0.3">
      <c r="A32" s="18" t="s">
        <v>37</v>
      </c>
      <c r="B32" s="18"/>
      <c r="C32" s="3" t="b">
        <f>OR(E8&lt;20000,B8="320")</f>
        <v>1</v>
      </c>
      <c r="E32" s="18" t="s">
        <v>55</v>
      </c>
      <c r="F32" s="18"/>
      <c r="G32" s="3">
        <f>AVERAGE(C2:C20)</f>
        <v>52105.26315789474</v>
      </c>
    </row>
    <row r="33" spans="1:7" x14ac:dyDescent="0.3">
      <c r="E33" s="18" t="s">
        <v>56</v>
      </c>
      <c r="F33" s="18"/>
      <c r="G33" s="3">
        <f>MEDIAN(C2:C20)</f>
        <v>50000</v>
      </c>
    </row>
    <row r="34" spans="1:7" ht="15.6" x14ac:dyDescent="0.3">
      <c r="A34" s="25" t="s">
        <v>38</v>
      </c>
      <c r="B34" s="26"/>
      <c r="C34" s="27"/>
      <c r="E34" s="18" t="s">
        <v>57</v>
      </c>
      <c r="F34" s="18"/>
      <c r="G34" s="3">
        <f>MODE(C2:C20)</f>
        <v>89000</v>
      </c>
    </row>
    <row r="35" spans="1:7" x14ac:dyDescent="0.3">
      <c r="A35" s="18" t="s">
        <v>39</v>
      </c>
      <c r="B35" s="18"/>
      <c r="C35" s="3" t="str">
        <f>LEFT(A14,3)</f>
        <v>Bir</v>
      </c>
      <c r="E35" s="18" t="s">
        <v>58</v>
      </c>
      <c r="F35" s="18"/>
      <c r="G35" s="3">
        <f>STDEV(C2:C20)</f>
        <v>26068.062061632485</v>
      </c>
    </row>
    <row r="36" spans="1:7" x14ac:dyDescent="0.3">
      <c r="A36" s="18" t="s">
        <v>40</v>
      </c>
      <c r="B36" s="18"/>
      <c r="C36" s="3" t="str">
        <f>RIGHT(A14,3)</f>
        <v>day</v>
      </c>
      <c r="E36" s="18" t="s">
        <v>59</v>
      </c>
      <c r="F36" s="18"/>
      <c r="G36" s="3">
        <f>CORREL(B2:B20,C2:C20)</f>
        <v>0.23128737281478395</v>
      </c>
    </row>
    <row r="37" spans="1:7" x14ac:dyDescent="0.3">
      <c r="A37" s="18" t="s">
        <v>41</v>
      </c>
      <c r="B37" s="18"/>
      <c r="C37" s="3" t="str">
        <f>MID(A14,3,3)</f>
        <v>rth</v>
      </c>
    </row>
    <row r="38" spans="1:7" x14ac:dyDescent="0.3">
      <c r="A38" s="18" t="s">
        <v>42</v>
      </c>
      <c r="B38" s="18"/>
      <c r="C38" s="3" t="str">
        <f>CONCATENATE(A14," ",B14)</f>
        <v>Birthday 270</v>
      </c>
    </row>
    <row r="40" spans="1:7" ht="15.6" x14ac:dyDescent="0.3">
      <c r="A40" s="24" t="s">
        <v>43</v>
      </c>
      <c r="B40" s="24"/>
      <c r="C40" s="24"/>
    </row>
    <row r="41" spans="1:7" x14ac:dyDescent="0.3">
      <c r="A41" s="18" t="s">
        <v>44</v>
      </c>
      <c r="B41" s="18"/>
      <c r="C41" s="4">
        <f ca="1">TODAY()</f>
        <v>46071</v>
      </c>
    </row>
    <row r="42" spans="1:7" x14ac:dyDescent="0.3">
      <c r="A42" s="18" t="s">
        <v>45</v>
      </c>
      <c r="B42" s="18"/>
      <c r="C42" s="5">
        <f ca="1">NOW()</f>
        <v>46071.227421296295</v>
      </c>
    </row>
    <row r="43" spans="1:7" x14ac:dyDescent="0.3">
      <c r="A43" s="18" t="s">
        <v>46</v>
      </c>
      <c r="B43" s="18"/>
      <c r="C43" s="3"/>
    </row>
  </sheetData>
  <mergeCells count="32">
    <mergeCell ref="A27:B27"/>
    <mergeCell ref="A22:C22"/>
    <mergeCell ref="A23:B23"/>
    <mergeCell ref="A24:B24"/>
    <mergeCell ref="A25:B25"/>
    <mergeCell ref="A26:B26"/>
    <mergeCell ref="E28:F28"/>
    <mergeCell ref="E29:F29"/>
    <mergeCell ref="E31:G31"/>
    <mergeCell ref="E32:F32"/>
    <mergeCell ref="A36:B36"/>
    <mergeCell ref="A29:C29"/>
    <mergeCell ref="A30:B30"/>
    <mergeCell ref="A31:B31"/>
    <mergeCell ref="A32:B32"/>
    <mergeCell ref="A34:C34"/>
    <mergeCell ref="A35:B35"/>
    <mergeCell ref="E33:F33"/>
    <mergeCell ref="E34:F34"/>
    <mergeCell ref="E35:F35"/>
    <mergeCell ref="E36:F36"/>
    <mergeCell ref="E22:G22"/>
    <mergeCell ref="E23:F23"/>
    <mergeCell ref="E24:F24"/>
    <mergeCell ref="E26:G26"/>
    <mergeCell ref="E27:F27"/>
    <mergeCell ref="A43:B43"/>
    <mergeCell ref="A37:B37"/>
    <mergeCell ref="A38:B38"/>
    <mergeCell ref="A40:C40"/>
    <mergeCell ref="A41:B41"/>
    <mergeCell ref="A42:B4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0920-1BDB-43EF-9057-FC30942673C0}">
  <dimension ref="A1:G42"/>
  <sheetViews>
    <sheetView tabSelected="1" workbookViewId="0">
      <selection activeCell="O21" sqref="O21"/>
    </sheetView>
  </sheetViews>
  <sheetFormatPr defaultRowHeight="14.4" x14ac:dyDescent="0.3"/>
  <cols>
    <col min="1" max="1" width="14.21875" customWidth="1"/>
    <col min="2" max="2" width="16.44140625" customWidth="1"/>
    <col min="3" max="3" width="17.109375" customWidth="1"/>
    <col min="4" max="4" width="19.21875" customWidth="1"/>
    <col min="7" max="7" width="15.33203125" bestFit="1" customWidth="1"/>
  </cols>
  <sheetData>
    <row r="1" spans="1:7" ht="18" x14ac:dyDescent="0.3">
      <c r="A1" s="14" t="s">
        <v>86</v>
      </c>
      <c r="B1" s="14" t="s">
        <v>87</v>
      </c>
      <c r="C1" s="14" t="s">
        <v>4</v>
      </c>
      <c r="D1" s="14" t="s">
        <v>88</v>
      </c>
    </row>
    <row r="2" spans="1:7" x14ac:dyDescent="0.3">
      <c r="A2" s="13">
        <v>5000000</v>
      </c>
      <c r="B2" s="13">
        <f>(A2*80%)</f>
        <v>4000000</v>
      </c>
      <c r="C2" s="13">
        <f>(A2-B2)</f>
        <v>1000000</v>
      </c>
      <c r="D2" s="13">
        <v>0.95</v>
      </c>
      <c r="G2" s="10" t="s">
        <v>89</v>
      </c>
    </row>
    <row r="3" spans="1:7" x14ac:dyDescent="0.3">
      <c r="A3" s="13">
        <v>6000000</v>
      </c>
      <c r="B3" s="13">
        <f t="shared" ref="B3:B20" si="0">(A3*80%)</f>
        <v>4800000</v>
      </c>
      <c r="C3" s="13">
        <f t="shared" ref="C3:C20" si="1">(A3-B3)</f>
        <v>1200000</v>
      </c>
      <c r="D3" s="13">
        <v>0.75</v>
      </c>
      <c r="F3" s="9"/>
      <c r="G3">
        <v>65680000</v>
      </c>
    </row>
    <row r="4" spans="1:7" x14ac:dyDescent="0.3">
      <c r="A4" s="13">
        <v>7000000</v>
      </c>
      <c r="B4" s="13">
        <f t="shared" si="0"/>
        <v>5600000</v>
      </c>
      <c r="C4" s="13">
        <f t="shared" si="1"/>
        <v>1400000</v>
      </c>
      <c r="D4" s="13">
        <v>1.18</v>
      </c>
    </row>
    <row r="5" spans="1:7" x14ac:dyDescent="0.3">
      <c r="A5" s="13">
        <v>3000000</v>
      </c>
      <c r="B5" s="13">
        <f t="shared" si="0"/>
        <v>2400000</v>
      </c>
      <c r="C5" s="13">
        <f t="shared" si="1"/>
        <v>600000</v>
      </c>
      <c r="D5" s="13">
        <v>0.8</v>
      </c>
    </row>
    <row r="6" spans="1:7" x14ac:dyDescent="0.3">
      <c r="A6" s="13">
        <v>1000000</v>
      </c>
      <c r="B6" s="13">
        <f t="shared" si="0"/>
        <v>800000</v>
      </c>
      <c r="C6" s="13">
        <f t="shared" si="1"/>
        <v>200000</v>
      </c>
      <c r="D6" s="13">
        <v>0.9</v>
      </c>
    </row>
    <row r="7" spans="1:7" x14ac:dyDescent="0.3">
      <c r="A7" s="13">
        <v>4000000</v>
      </c>
      <c r="B7" s="13">
        <f t="shared" si="0"/>
        <v>3200000</v>
      </c>
      <c r="C7" s="13">
        <f t="shared" si="1"/>
        <v>800000</v>
      </c>
      <c r="D7" s="13">
        <v>1.1000000000000001</v>
      </c>
    </row>
    <row r="8" spans="1:7" x14ac:dyDescent="0.3">
      <c r="A8" s="13">
        <v>8000000</v>
      </c>
      <c r="B8" s="13">
        <f t="shared" si="0"/>
        <v>6400000</v>
      </c>
      <c r="C8" s="13">
        <f t="shared" si="1"/>
        <v>1600000</v>
      </c>
      <c r="D8" s="13">
        <v>0.72</v>
      </c>
    </row>
    <row r="9" spans="1:7" x14ac:dyDescent="0.3">
      <c r="A9" s="13">
        <v>9000000</v>
      </c>
      <c r="B9" s="13">
        <f t="shared" si="0"/>
        <v>7200000</v>
      </c>
      <c r="C9" s="13">
        <f t="shared" si="1"/>
        <v>1800000</v>
      </c>
      <c r="D9" s="13">
        <v>1.2</v>
      </c>
    </row>
    <row r="10" spans="1:7" x14ac:dyDescent="0.3">
      <c r="A10" s="13">
        <v>2000000</v>
      </c>
      <c r="B10" s="13">
        <f t="shared" si="0"/>
        <v>1600000</v>
      </c>
      <c r="C10" s="13">
        <f t="shared" si="1"/>
        <v>400000</v>
      </c>
      <c r="D10" s="13">
        <v>1.22</v>
      </c>
    </row>
    <row r="11" spans="1:7" x14ac:dyDescent="0.3">
      <c r="A11" s="13">
        <v>1100000</v>
      </c>
      <c r="B11" s="13">
        <f t="shared" si="0"/>
        <v>880000</v>
      </c>
      <c r="C11" s="13">
        <f t="shared" si="1"/>
        <v>220000</v>
      </c>
      <c r="D11" s="13">
        <v>0.79</v>
      </c>
    </row>
    <row r="12" spans="1:7" x14ac:dyDescent="0.3">
      <c r="A12" s="13">
        <v>4500000</v>
      </c>
      <c r="B12" s="13">
        <f t="shared" si="0"/>
        <v>3600000</v>
      </c>
      <c r="C12" s="13">
        <f t="shared" si="1"/>
        <v>900000</v>
      </c>
      <c r="D12" s="13">
        <v>0.99</v>
      </c>
    </row>
    <row r="13" spans="1:7" x14ac:dyDescent="0.3">
      <c r="A13" s="13">
        <v>7600000</v>
      </c>
      <c r="B13" s="13">
        <f t="shared" si="0"/>
        <v>6080000</v>
      </c>
      <c r="C13" s="13">
        <f t="shared" si="1"/>
        <v>1520000</v>
      </c>
      <c r="D13" s="13">
        <v>2.1</v>
      </c>
    </row>
    <row r="14" spans="1:7" x14ac:dyDescent="0.3">
      <c r="A14" s="13">
        <v>3400000</v>
      </c>
      <c r="B14" s="13">
        <f>(A14*80%)</f>
        <v>2720000</v>
      </c>
      <c r="C14" s="13">
        <f t="shared" si="1"/>
        <v>680000</v>
      </c>
      <c r="D14" s="13">
        <v>1.21</v>
      </c>
    </row>
    <row r="15" spans="1:7" x14ac:dyDescent="0.3">
      <c r="A15" s="13">
        <v>1200000</v>
      </c>
      <c r="B15" s="13">
        <f t="shared" si="0"/>
        <v>960000</v>
      </c>
      <c r="C15" s="13">
        <f t="shared" si="1"/>
        <v>240000</v>
      </c>
      <c r="D15" s="13">
        <v>0.89</v>
      </c>
    </row>
    <row r="16" spans="1:7" x14ac:dyDescent="0.3">
      <c r="A16" s="13">
        <v>8700000</v>
      </c>
      <c r="B16" s="13">
        <f t="shared" si="0"/>
        <v>6960000</v>
      </c>
      <c r="C16" s="13">
        <f t="shared" si="1"/>
        <v>1740000</v>
      </c>
      <c r="D16" s="13">
        <v>0.77</v>
      </c>
    </row>
    <row r="17" spans="1:7" x14ac:dyDescent="0.3">
      <c r="A17" s="13">
        <v>1100000</v>
      </c>
      <c r="B17" s="13">
        <f t="shared" si="0"/>
        <v>880000</v>
      </c>
      <c r="C17" s="13">
        <f t="shared" si="1"/>
        <v>220000</v>
      </c>
      <c r="D17" s="13">
        <v>0.75</v>
      </c>
    </row>
    <row r="18" spans="1:7" x14ac:dyDescent="0.3">
      <c r="A18" s="13">
        <v>4500000</v>
      </c>
      <c r="B18" s="13">
        <f t="shared" si="0"/>
        <v>3600000</v>
      </c>
      <c r="C18" s="13">
        <f t="shared" si="1"/>
        <v>900000</v>
      </c>
      <c r="D18" s="13">
        <v>1.18</v>
      </c>
    </row>
    <row r="19" spans="1:7" x14ac:dyDescent="0.3">
      <c r="A19" s="13">
        <v>1000000</v>
      </c>
      <c r="B19" s="13">
        <f t="shared" si="0"/>
        <v>800000</v>
      </c>
      <c r="C19" s="13">
        <f t="shared" si="1"/>
        <v>200000</v>
      </c>
      <c r="D19" s="13">
        <v>0.8</v>
      </c>
    </row>
    <row r="20" spans="1:7" x14ac:dyDescent="0.3">
      <c r="A20" s="13">
        <v>4000000</v>
      </c>
      <c r="B20" s="13">
        <f t="shared" si="0"/>
        <v>3200000</v>
      </c>
      <c r="C20" s="13">
        <f t="shared" si="1"/>
        <v>800000</v>
      </c>
      <c r="D20" s="13">
        <v>2.1</v>
      </c>
    </row>
    <row r="23" spans="1:7" ht="15.6" x14ac:dyDescent="0.3">
      <c r="A23" s="33" t="s">
        <v>28</v>
      </c>
      <c r="B23" s="33"/>
      <c r="C23" s="33"/>
      <c r="E23" s="30" t="s">
        <v>43</v>
      </c>
      <c r="F23" s="31"/>
      <c r="G23" s="32"/>
    </row>
    <row r="24" spans="1:7" x14ac:dyDescent="0.3">
      <c r="A24" s="18" t="s">
        <v>29</v>
      </c>
      <c r="B24" s="18"/>
      <c r="C24" s="3">
        <f>SUM(C2:C20)</f>
        <v>16420000</v>
      </c>
      <c r="E24" s="28" t="s">
        <v>44</v>
      </c>
      <c r="F24" s="29"/>
      <c r="G24" s="4">
        <f ca="1">TODAY()</f>
        <v>46071</v>
      </c>
    </row>
    <row r="25" spans="1:7" x14ac:dyDescent="0.3">
      <c r="A25" s="18" t="s">
        <v>30</v>
      </c>
      <c r="B25" s="18"/>
      <c r="C25" s="3">
        <f>AVERAGE(C2:C20)</f>
        <v>864210.52631578944</v>
      </c>
      <c r="E25" s="28" t="s">
        <v>45</v>
      </c>
      <c r="F25" s="29"/>
      <c r="G25" s="5">
        <f ca="1">NOW()</f>
        <v>46071.227421296295</v>
      </c>
    </row>
    <row r="26" spans="1:7" x14ac:dyDescent="0.3">
      <c r="A26" s="18" t="s">
        <v>31</v>
      </c>
      <c r="B26" s="18"/>
      <c r="C26" s="3">
        <f>MIN(C2:C20)</f>
        <v>200000</v>
      </c>
      <c r="E26" s="28" t="s">
        <v>46</v>
      </c>
      <c r="F26" s="29"/>
      <c r="G26" s="3"/>
    </row>
    <row r="27" spans="1:7" x14ac:dyDescent="0.3">
      <c r="A27" s="18" t="s">
        <v>32</v>
      </c>
      <c r="B27" s="18"/>
      <c r="C27" s="3">
        <f>MAX(C2:C20)</f>
        <v>1800000</v>
      </c>
    </row>
    <row r="28" spans="1:7" ht="15.6" x14ac:dyDescent="0.3">
      <c r="A28" s="18" t="s">
        <v>33</v>
      </c>
      <c r="B28" s="18"/>
      <c r="C28" s="3">
        <f>COUNT(C2:C20)</f>
        <v>19</v>
      </c>
      <c r="E28" s="30" t="s">
        <v>47</v>
      </c>
      <c r="F28" s="31"/>
      <c r="G28" s="32"/>
    </row>
    <row r="29" spans="1:7" x14ac:dyDescent="0.3">
      <c r="E29" s="28" t="s">
        <v>48</v>
      </c>
      <c r="F29" s="29"/>
      <c r="G29" s="6">
        <f>PMT(5%/10, 50, C24)</f>
        <v>-371974.70657904039</v>
      </c>
    </row>
    <row r="30" spans="1:7" ht="15.6" x14ac:dyDescent="0.3">
      <c r="A30" s="33" t="s">
        <v>34</v>
      </c>
      <c r="B30" s="33"/>
      <c r="C30" s="33"/>
      <c r="E30" s="28" t="s">
        <v>49</v>
      </c>
      <c r="F30" s="29"/>
      <c r="G30" s="6">
        <f>NPV(5%,C2:C20)</f>
        <v>10830345.125997109</v>
      </c>
    </row>
    <row r="31" spans="1:7" x14ac:dyDescent="0.3">
      <c r="A31" s="18" t="s">
        <v>35</v>
      </c>
      <c r="B31" s="18"/>
      <c r="C31" s="3" t="str">
        <f>IF(C2&gt;100000,"SATISFYING","NOT SATISFYING")</f>
        <v>SATISFYING</v>
      </c>
    </row>
    <row r="32" spans="1:7" ht="15.6" x14ac:dyDescent="0.3">
      <c r="A32" s="18" t="s">
        <v>36</v>
      </c>
      <c r="B32" s="18"/>
      <c r="C32" s="3" t="b">
        <f>AND(B2&gt;2000000,C2="1000000")</f>
        <v>0</v>
      </c>
      <c r="E32" s="30" t="s">
        <v>50</v>
      </c>
      <c r="F32" s="31"/>
      <c r="G32" s="32"/>
    </row>
    <row r="33" spans="1:7" x14ac:dyDescent="0.3">
      <c r="A33" s="18" t="s">
        <v>37</v>
      </c>
      <c r="B33" s="18"/>
      <c r="C33" s="3" t="b">
        <f>OR(B4&lt;200000,C4="1400000")</f>
        <v>0</v>
      </c>
      <c r="E33" s="28" t="s">
        <v>51</v>
      </c>
      <c r="F33" s="29"/>
      <c r="G33" s="3">
        <f>VLOOKUP(A4,A2:D20,3,FALSE)</f>
        <v>1400000</v>
      </c>
    </row>
    <row r="34" spans="1:7" x14ac:dyDescent="0.3">
      <c r="E34" s="28" t="s">
        <v>52</v>
      </c>
      <c r="F34" s="29"/>
      <c r="G34" s="3">
        <f>HLOOKUP(B2,A2:D20,4,FALSE)</f>
        <v>2400000</v>
      </c>
    </row>
    <row r="35" spans="1:7" ht="15.6" x14ac:dyDescent="0.3">
      <c r="A35" s="30" t="s">
        <v>38</v>
      </c>
      <c r="B35" s="31"/>
      <c r="C35" s="32"/>
      <c r="E35" s="28" t="s">
        <v>53</v>
      </c>
      <c r="F35" s="29"/>
      <c r="G35" s="3"/>
    </row>
    <row r="36" spans="1:7" x14ac:dyDescent="0.3">
      <c r="A36" s="18" t="s">
        <v>39</v>
      </c>
      <c r="B36" s="18"/>
      <c r="C36" s="3" t="str">
        <f>LEFT(B15,3)</f>
        <v>960</v>
      </c>
    </row>
    <row r="37" spans="1:7" ht="15.6" x14ac:dyDescent="0.3">
      <c r="A37" s="18" t="s">
        <v>40</v>
      </c>
      <c r="B37" s="18"/>
      <c r="C37" s="3" t="str">
        <f>RIGHT(B15,3)</f>
        <v>000</v>
      </c>
      <c r="E37" s="30" t="s">
        <v>54</v>
      </c>
      <c r="F37" s="31"/>
      <c r="G37" s="32"/>
    </row>
    <row r="38" spans="1:7" x14ac:dyDescent="0.3">
      <c r="A38" s="18" t="s">
        <v>41</v>
      </c>
      <c r="B38" s="18"/>
      <c r="C38" s="3" t="str">
        <f>MID(B15,3,3)</f>
        <v>000</v>
      </c>
      <c r="E38" s="28" t="s">
        <v>55</v>
      </c>
      <c r="F38" s="29"/>
      <c r="G38" s="3">
        <f>AVERAGE(C2:C20)</f>
        <v>864210.52631578944</v>
      </c>
    </row>
    <row r="39" spans="1:7" x14ac:dyDescent="0.3">
      <c r="A39" s="18" t="s">
        <v>42</v>
      </c>
      <c r="B39" s="18"/>
      <c r="C39" s="3" t="str">
        <f>CONCATENATE(B15," ",C15)</f>
        <v>960000 240000</v>
      </c>
      <c r="E39" s="28" t="s">
        <v>56</v>
      </c>
      <c r="F39" s="29"/>
      <c r="G39" s="3">
        <f>MEDIAN(C2:C20)</f>
        <v>800000</v>
      </c>
    </row>
    <row r="40" spans="1:7" x14ac:dyDescent="0.3">
      <c r="E40" s="28" t="s">
        <v>57</v>
      </c>
      <c r="F40" s="29"/>
      <c r="G40" s="3">
        <f>MODE(C2:C20)</f>
        <v>200000</v>
      </c>
    </row>
    <row r="41" spans="1:7" x14ac:dyDescent="0.3">
      <c r="E41" s="28" t="s">
        <v>58</v>
      </c>
      <c r="F41" s="29"/>
      <c r="G41" s="3">
        <f>STDEV(C2:C20)</f>
        <v>550982.11091623257</v>
      </c>
    </row>
    <row r="42" spans="1:7" x14ac:dyDescent="0.3">
      <c r="E42" s="28" t="s">
        <v>59</v>
      </c>
      <c r="F42" s="29"/>
      <c r="G42" s="3">
        <f>CORREL(B2:B20,C2:C20)</f>
        <v>1</v>
      </c>
    </row>
  </sheetData>
  <mergeCells count="32">
    <mergeCell ref="E25:F25"/>
    <mergeCell ref="E24:F24"/>
    <mergeCell ref="E23:G23"/>
    <mergeCell ref="A28:B28"/>
    <mergeCell ref="E30:F30"/>
    <mergeCell ref="E29:F29"/>
    <mergeCell ref="E28:G28"/>
    <mergeCell ref="E26:F26"/>
    <mergeCell ref="A23:C23"/>
    <mergeCell ref="A24:B24"/>
    <mergeCell ref="A25:B25"/>
    <mergeCell ref="A26:B26"/>
    <mergeCell ref="A27:B27"/>
    <mergeCell ref="A37:B37"/>
    <mergeCell ref="A38:B38"/>
    <mergeCell ref="A39:B39"/>
    <mergeCell ref="A30:C30"/>
    <mergeCell ref="A31:B31"/>
    <mergeCell ref="A32:B32"/>
    <mergeCell ref="A33:B33"/>
    <mergeCell ref="A35:C35"/>
    <mergeCell ref="A36:B36"/>
    <mergeCell ref="E39:F39"/>
    <mergeCell ref="E40:F40"/>
    <mergeCell ref="E41:F41"/>
    <mergeCell ref="E42:F42"/>
    <mergeCell ref="E32:G32"/>
    <mergeCell ref="E33:F33"/>
    <mergeCell ref="E34:F34"/>
    <mergeCell ref="E35:F35"/>
    <mergeCell ref="E37:G37"/>
    <mergeCell ref="E38:F38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A59A-28BA-403C-886A-4C9A4231F7AF}">
  <dimension ref="A1:G43"/>
  <sheetViews>
    <sheetView zoomScale="99" zoomScaleNormal="99" workbookViewId="0">
      <selection activeCell="L20" sqref="L20"/>
    </sheetView>
  </sheetViews>
  <sheetFormatPr defaultRowHeight="14.4" x14ac:dyDescent="0.3"/>
  <cols>
    <col min="1" max="1" width="14.88671875" customWidth="1"/>
    <col min="2" max="2" width="14.109375" customWidth="1"/>
    <col min="3" max="3" width="13.6640625" customWidth="1"/>
    <col min="4" max="4" width="15.5546875" customWidth="1"/>
    <col min="5" max="5" width="15.6640625" customWidth="1"/>
    <col min="7" max="7" width="15.6640625" customWidth="1"/>
  </cols>
  <sheetData>
    <row r="1" spans="1:7" ht="18" x14ac:dyDescent="0.3">
      <c r="A1" s="15" t="s">
        <v>90</v>
      </c>
      <c r="B1" s="15" t="s">
        <v>91</v>
      </c>
      <c r="C1" s="15" t="s">
        <v>92</v>
      </c>
      <c r="D1" s="15" t="s">
        <v>93</v>
      </c>
      <c r="E1" s="15" t="s">
        <v>94</v>
      </c>
    </row>
    <row r="2" spans="1:7" x14ac:dyDescent="0.3">
      <c r="A2" s="1">
        <v>101</v>
      </c>
      <c r="B2" s="1" t="s">
        <v>95</v>
      </c>
      <c r="C2" s="1">
        <v>45000</v>
      </c>
      <c r="D2" s="1">
        <v>3</v>
      </c>
      <c r="E2" s="1" t="s">
        <v>96</v>
      </c>
    </row>
    <row r="3" spans="1:7" x14ac:dyDescent="0.3">
      <c r="A3" s="1">
        <v>102</v>
      </c>
      <c r="B3" s="1" t="s">
        <v>97</v>
      </c>
      <c r="C3" s="1">
        <v>52000</v>
      </c>
      <c r="D3" s="1">
        <v>5</v>
      </c>
      <c r="E3" s="1" t="s">
        <v>98</v>
      </c>
      <c r="G3" s="10" t="s">
        <v>64</v>
      </c>
    </row>
    <row r="4" spans="1:7" x14ac:dyDescent="0.3">
      <c r="A4" s="1">
        <v>103</v>
      </c>
      <c r="B4" s="1" t="s">
        <v>99</v>
      </c>
      <c r="C4" s="1">
        <v>60000</v>
      </c>
      <c r="D4" s="1">
        <v>4</v>
      </c>
      <c r="E4" s="1" t="s">
        <v>96</v>
      </c>
      <c r="G4" s="11" t="s">
        <v>99</v>
      </c>
    </row>
    <row r="5" spans="1:7" x14ac:dyDescent="0.3">
      <c r="A5" s="1">
        <v>104</v>
      </c>
      <c r="B5" s="1" t="s">
        <v>100</v>
      </c>
      <c r="C5" s="1">
        <v>48000</v>
      </c>
      <c r="D5" s="1">
        <v>6</v>
      </c>
      <c r="E5" s="1" t="s">
        <v>96</v>
      </c>
      <c r="G5" s="16" t="s">
        <v>98</v>
      </c>
    </row>
    <row r="6" spans="1:7" x14ac:dyDescent="0.3">
      <c r="A6" s="1">
        <v>105</v>
      </c>
      <c r="B6" s="1" t="s">
        <v>101</v>
      </c>
      <c r="C6" s="1">
        <v>70000</v>
      </c>
      <c r="D6" s="1">
        <v>2</v>
      </c>
      <c r="E6" s="1" t="s">
        <v>98</v>
      </c>
      <c r="G6" s="16" t="s">
        <v>96</v>
      </c>
    </row>
    <row r="7" spans="1:7" x14ac:dyDescent="0.3">
      <c r="A7" s="1">
        <v>106</v>
      </c>
      <c r="B7" s="1" t="s">
        <v>95</v>
      </c>
      <c r="C7" s="1">
        <v>45000</v>
      </c>
      <c r="D7" s="1">
        <v>3</v>
      </c>
      <c r="E7" s="1" t="s">
        <v>96</v>
      </c>
      <c r="G7" s="11" t="s">
        <v>100</v>
      </c>
    </row>
    <row r="8" spans="1:7" x14ac:dyDescent="0.3">
      <c r="A8" s="1">
        <v>107</v>
      </c>
      <c r="B8" s="1" t="s">
        <v>97</v>
      </c>
      <c r="C8" s="1">
        <v>52000</v>
      </c>
      <c r="D8" s="1">
        <v>5</v>
      </c>
      <c r="E8" s="1" t="s">
        <v>98</v>
      </c>
      <c r="G8" s="16" t="s">
        <v>98</v>
      </c>
    </row>
    <row r="9" spans="1:7" x14ac:dyDescent="0.3">
      <c r="A9" s="1">
        <v>108</v>
      </c>
      <c r="B9" s="1" t="s">
        <v>99</v>
      </c>
      <c r="C9" s="1">
        <v>60000</v>
      </c>
      <c r="D9" s="1">
        <v>4</v>
      </c>
      <c r="E9" s="1" t="s">
        <v>96</v>
      </c>
      <c r="G9" s="16" t="s">
        <v>96</v>
      </c>
    </row>
    <row r="10" spans="1:7" x14ac:dyDescent="0.3">
      <c r="A10" s="1">
        <v>109</v>
      </c>
      <c r="B10" s="1" t="s">
        <v>100</v>
      </c>
      <c r="C10" s="1">
        <v>48000</v>
      </c>
      <c r="D10" s="1">
        <v>6</v>
      </c>
      <c r="E10" s="1" t="s">
        <v>96</v>
      </c>
      <c r="G10" s="11" t="s">
        <v>101</v>
      </c>
    </row>
    <row r="11" spans="1:7" x14ac:dyDescent="0.3">
      <c r="A11" s="1">
        <v>110</v>
      </c>
      <c r="B11" s="1" t="s">
        <v>101</v>
      </c>
      <c r="C11" s="1">
        <v>70000</v>
      </c>
      <c r="D11" s="1">
        <v>2</v>
      </c>
      <c r="E11" s="1" t="s">
        <v>98</v>
      </c>
      <c r="G11" s="16" t="s">
        <v>98</v>
      </c>
    </row>
    <row r="12" spans="1:7" x14ac:dyDescent="0.3">
      <c r="A12" s="1">
        <v>111</v>
      </c>
      <c r="B12" s="1" t="s">
        <v>95</v>
      </c>
      <c r="C12" s="1">
        <v>45000</v>
      </c>
      <c r="D12" s="1">
        <v>3</v>
      </c>
      <c r="E12" s="1" t="s">
        <v>96</v>
      </c>
      <c r="G12" s="11" t="s">
        <v>97</v>
      </c>
    </row>
    <row r="13" spans="1:7" x14ac:dyDescent="0.3">
      <c r="A13" s="1">
        <v>112</v>
      </c>
      <c r="B13" s="1" t="s">
        <v>97</v>
      </c>
      <c r="C13" s="1">
        <v>52000</v>
      </c>
      <c r="D13" s="1">
        <v>5</v>
      </c>
      <c r="E13" s="1" t="s">
        <v>98</v>
      </c>
      <c r="G13" s="16" t="s">
        <v>98</v>
      </c>
    </row>
    <row r="14" spans="1:7" x14ac:dyDescent="0.3">
      <c r="A14" s="1">
        <v>113</v>
      </c>
      <c r="B14" s="1" t="s">
        <v>99</v>
      </c>
      <c r="C14" s="1">
        <v>60000</v>
      </c>
      <c r="D14" s="1">
        <v>4</v>
      </c>
      <c r="E14" s="1" t="s">
        <v>96</v>
      </c>
      <c r="G14" s="16" t="s">
        <v>96</v>
      </c>
    </row>
    <row r="15" spans="1:7" x14ac:dyDescent="0.3">
      <c r="A15" s="1">
        <v>114</v>
      </c>
      <c r="B15" s="1" t="s">
        <v>100</v>
      </c>
      <c r="C15" s="1">
        <v>48000</v>
      </c>
      <c r="D15" s="1">
        <v>6</v>
      </c>
      <c r="E15" s="1" t="s">
        <v>96</v>
      </c>
      <c r="G15" s="11" t="s">
        <v>95</v>
      </c>
    </row>
    <row r="16" spans="1:7" x14ac:dyDescent="0.3">
      <c r="A16" s="1">
        <v>115</v>
      </c>
      <c r="B16" s="1" t="s">
        <v>101</v>
      </c>
      <c r="C16" s="1">
        <v>70000</v>
      </c>
      <c r="D16" s="1">
        <v>2</v>
      </c>
      <c r="E16" s="1" t="s">
        <v>98</v>
      </c>
      <c r="G16" s="16" t="s">
        <v>96</v>
      </c>
    </row>
    <row r="17" spans="1:7" x14ac:dyDescent="0.3">
      <c r="A17" s="1">
        <v>115</v>
      </c>
      <c r="B17" s="1" t="s">
        <v>95</v>
      </c>
      <c r="C17" s="1">
        <v>52000</v>
      </c>
      <c r="D17" s="1">
        <v>6</v>
      </c>
      <c r="E17" s="1" t="s">
        <v>96</v>
      </c>
      <c r="G17" s="11" t="s">
        <v>65</v>
      </c>
    </row>
    <row r="18" spans="1:7" x14ac:dyDescent="0.3">
      <c r="A18" s="1">
        <v>115</v>
      </c>
      <c r="B18" s="1" t="s">
        <v>97</v>
      </c>
      <c r="C18" s="1">
        <v>60000</v>
      </c>
      <c r="D18" s="1">
        <v>2</v>
      </c>
      <c r="E18" s="1" t="s">
        <v>96</v>
      </c>
    </row>
    <row r="19" spans="1:7" x14ac:dyDescent="0.3">
      <c r="A19" s="1">
        <v>115</v>
      </c>
      <c r="B19" s="1" t="s">
        <v>99</v>
      </c>
      <c r="C19" s="1">
        <v>48000</v>
      </c>
      <c r="D19" s="1">
        <v>3</v>
      </c>
      <c r="E19" s="1" t="s">
        <v>98</v>
      </c>
    </row>
    <row r="20" spans="1:7" x14ac:dyDescent="0.3">
      <c r="A20" s="1">
        <v>116</v>
      </c>
      <c r="B20" s="1" t="s">
        <v>100</v>
      </c>
      <c r="C20" s="1">
        <v>70000</v>
      </c>
      <c r="D20" s="1">
        <v>4</v>
      </c>
      <c r="E20" s="1" t="s">
        <v>98</v>
      </c>
    </row>
    <row r="22" spans="1:7" ht="15.6" x14ac:dyDescent="0.3">
      <c r="A22" s="34" t="s">
        <v>28</v>
      </c>
      <c r="B22" s="34"/>
      <c r="C22" s="34"/>
      <c r="E22" s="35" t="s">
        <v>47</v>
      </c>
      <c r="F22" s="36"/>
      <c r="G22" s="37"/>
    </row>
    <row r="23" spans="1:7" x14ac:dyDescent="0.3">
      <c r="A23" s="18" t="s">
        <v>29</v>
      </c>
      <c r="B23" s="18"/>
      <c r="C23" s="3">
        <f>SUM(C2:C20)</f>
        <v>1055000</v>
      </c>
      <c r="E23" s="18" t="s">
        <v>48</v>
      </c>
      <c r="F23" s="18"/>
      <c r="G23" s="6">
        <f xml:space="preserve"> PMT(5%/12, 60,C23)</f>
        <v>-19909.151494431539</v>
      </c>
    </row>
    <row r="24" spans="1:7" x14ac:dyDescent="0.3">
      <c r="A24" s="18" t="s">
        <v>30</v>
      </c>
      <c r="B24" s="18"/>
      <c r="C24" s="3">
        <f>AVERAGE(C2:C20)</f>
        <v>55526.315789473687</v>
      </c>
      <c r="E24" s="18" t="s">
        <v>49</v>
      </c>
      <c r="F24" s="18"/>
      <c r="G24" s="6">
        <f>NPV(5%,C2:C20)</f>
        <v>663895.94378309767</v>
      </c>
    </row>
    <row r="25" spans="1:7" x14ac:dyDescent="0.3">
      <c r="A25" s="18" t="s">
        <v>31</v>
      </c>
      <c r="B25" s="18"/>
      <c r="C25" s="3">
        <f>MIN(C2:C20)</f>
        <v>45000</v>
      </c>
    </row>
    <row r="26" spans="1:7" ht="15.6" x14ac:dyDescent="0.3">
      <c r="A26" s="18" t="s">
        <v>32</v>
      </c>
      <c r="B26" s="18"/>
      <c r="C26" s="3">
        <f>MAX(C2:C20)</f>
        <v>70000</v>
      </c>
      <c r="E26" s="34" t="s">
        <v>50</v>
      </c>
      <c r="F26" s="34"/>
      <c r="G26" s="34"/>
    </row>
    <row r="27" spans="1:7" x14ac:dyDescent="0.3">
      <c r="A27" s="18" t="s">
        <v>33</v>
      </c>
      <c r="B27" s="18"/>
      <c r="C27" s="3">
        <f>COUNT(C2:C20)</f>
        <v>19</v>
      </c>
      <c r="E27" s="18" t="s">
        <v>51</v>
      </c>
      <c r="F27" s="18"/>
      <c r="G27" s="3" t="str">
        <f>VLOOKUP(A6,A2:E20,5,FALSE)</f>
        <v>no</v>
      </c>
    </row>
    <row r="28" spans="1:7" x14ac:dyDescent="0.3">
      <c r="E28" s="18" t="s">
        <v>52</v>
      </c>
      <c r="F28" s="18"/>
      <c r="G28" s="3">
        <f>HLOOKUP(C2,A2:E20,4,FALSE)</f>
        <v>48000</v>
      </c>
    </row>
    <row r="29" spans="1:7" ht="15.6" x14ac:dyDescent="0.3">
      <c r="A29" s="34" t="s">
        <v>34</v>
      </c>
      <c r="B29" s="34"/>
      <c r="C29" s="34"/>
      <c r="E29" s="18" t="s">
        <v>53</v>
      </c>
      <c r="F29" s="18"/>
      <c r="G29" s="3"/>
    </row>
    <row r="30" spans="1:7" x14ac:dyDescent="0.3">
      <c r="A30" s="18" t="s">
        <v>35</v>
      </c>
      <c r="B30" s="18"/>
      <c r="C30" s="3" t="str">
        <f>IF(D2&gt;3,"SATISFYING","NOT SATISFYING")</f>
        <v>NOT SATISFYING</v>
      </c>
    </row>
    <row r="31" spans="1:7" ht="15.6" x14ac:dyDescent="0.3">
      <c r="A31" s="18" t="s">
        <v>36</v>
      </c>
      <c r="B31" s="18"/>
      <c r="C31" s="3" t="b">
        <f>AND(C2&gt;10000,B2="Sales")</f>
        <v>1</v>
      </c>
      <c r="E31" s="34" t="s">
        <v>54</v>
      </c>
      <c r="F31" s="34"/>
      <c r="G31" s="34"/>
    </row>
    <row r="32" spans="1:7" x14ac:dyDescent="0.3">
      <c r="A32" s="18" t="s">
        <v>37</v>
      </c>
      <c r="B32" s="18"/>
      <c r="C32" s="3" t="b">
        <f>OR(C8&lt;20000,B8="HR")</f>
        <v>0</v>
      </c>
      <c r="E32" s="18" t="s">
        <v>55</v>
      </c>
      <c r="F32" s="18"/>
      <c r="G32" s="3">
        <f>AVERAGE(C2:C20)</f>
        <v>55526.315789473687</v>
      </c>
    </row>
    <row r="33" spans="1:7" x14ac:dyDescent="0.3">
      <c r="E33" s="18" t="s">
        <v>56</v>
      </c>
      <c r="F33" s="18"/>
      <c r="G33" s="3">
        <f>MEDIAN(C2:C20)</f>
        <v>52000</v>
      </c>
    </row>
    <row r="34" spans="1:7" ht="15.6" x14ac:dyDescent="0.3">
      <c r="A34" s="35" t="s">
        <v>38</v>
      </c>
      <c r="B34" s="36"/>
      <c r="C34" s="37"/>
      <c r="E34" s="18" t="s">
        <v>57</v>
      </c>
      <c r="F34" s="18"/>
      <c r="G34" s="3">
        <f>MODE(C2:C20)</f>
        <v>52000</v>
      </c>
    </row>
    <row r="35" spans="1:7" x14ac:dyDescent="0.3">
      <c r="A35" s="18" t="s">
        <v>39</v>
      </c>
      <c r="B35" s="18"/>
      <c r="C35" s="3" t="str">
        <f>LEFT(B13,3)</f>
        <v>Mar</v>
      </c>
      <c r="E35" s="18" t="s">
        <v>58</v>
      </c>
      <c r="F35" s="18"/>
      <c r="G35" s="3">
        <f>STDEV(C2:C20)</f>
        <v>9209.7075659486818</v>
      </c>
    </row>
    <row r="36" spans="1:7" x14ac:dyDescent="0.3">
      <c r="A36" s="18" t="s">
        <v>40</v>
      </c>
      <c r="B36" s="18"/>
      <c r="C36" s="3" t="str">
        <f>RIGHT(B13,3)</f>
        <v>ing</v>
      </c>
      <c r="E36" s="18" t="s">
        <v>59</v>
      </c>
      <c r="F36" s="18"/>
      <c r="G36" s="3">
        <f>CORREL(C2:C20,D2:D20)</f>
        <v>-0.48994925761819708</v>
      </c>
    </row>
    <row r="37" spans="1:7" x14ac:dyDescent="0.3">
      <c r="A37" s="18" t="s">
        <v>41</v>
      </c>
      <c r="B37" s="18"/>
      <c r="C37" s="3" t="str">
        <f>MID(B13,3,3)</f>
        <v>rke</v>
      </c>
    </row>
    <row r="38" spans="1:7" x14ac:dyDescent="0.3">
      <c r="A38" s="18" t="s">
        <v>42</v>
      </c>
      <c r="B38" s="18"/>
      <c r="C38" s="3" t="str">
        <f>CONCATENATE(B14," ",C14)</f>
        <v>Finance 60000</v>
      </c>
    </row>
    <row r="40" spans="1:7" ht="15.6" x14ac:dyDescent="0.3">
      <c r="A40" s="34" t="s">
        <v>43</v>
      </c>
      <c r="B40" s="34"/>
      <c r="C40" s="34"/>
    </row>
    <row r="41" spans="1:7" x14ac:dyDescent="0.3">
      <c r="A41" s="18" t="s">
        <v>44</v>
      </c>
      <c r="B41" s="18"/>
      <c r="C41" s="4">
        <f ca="1">TODAY()</f>
        <v>46071</v>
      </c>
    </row>
    <row r="42" spans="1:7" x14ac:dyDescent="0.3">
      <c r="A42" s="18" t="s">
        <v>45</v>
      </c>
      <c r="B42" s="18"/>
      <c r="C42" s="5">
        <f ca="1">NOW()</f>
        <v>46071.227421296295</v>
      </c>
    </row>
    <row r="43" spans="1:7" x14ac:dyDescent="0.3">
      <c r="A43" s="18" t="s">
        <v>46</v>
      </c>
      <c r="B43" s="18"/>
      <c r="C43" s="3"/>
    </row>
  </sheetData>
  <mergeCells count="32">
    <mergeCell ref="A43:B43"/>
    <mergeCell ref="A37:B37"/>
    <mergeCell ref="A38:B38"/>
    <mergeCell ref="A40:C40"/>
    <mergeCell ref="A41:B41"/>
    <mergeCell ref="A42:B42"/>
    <mergeCell ref="E22:G22"/>
    <mergeCell ref="E23:F23"/>
    <mergeCell ref="E24:F24"/>
    <mergeCell ref="E26:G26"/>
    <mergeCell ref="E27:F27"/>
    <mergeCell ref="E28:F28"/>
    <mergeCell ref="E29:F29"/>
    <mergeCell ref="E31:G31"/>
    <mergeCell ref="E32:F32"/>
    <mergeCell ref="A36:B36"/>
    <mergeCell ref="A29:C29"/>
    <mergeCell ref="A30:B30"/>
    <mergeCell ref="A31:B31"/>
    <mergeCell ref="A32:B32"/>
    <mergeCell ref="A34:C34"/>
    <mergeCell ref="A35:B35"/>
    <mergeCell ref="E33:F33"/>
    <mergeCell ref="E34:F34"/>
    <mergeCell ref="E35:F35"/>
    <mergeCell ref="E36:F36"/>
    <mergeCell ref="A27:B27"/>
    <mergeCell ref="A22:C22"/>
    <mergeCell ref="A23:B23"/>
    <mergeCell ref="A24:B24"/>
    <mergeCell ref="A25:B25"/>
    <mergeCell ref="A26:B26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61F6-D755-4422-9C96-E5A68A9026A9}">
  <dimension ref="A1:I43"/>
  <sheetViews>
    <sheetView workbookViewId="0">
      <selection activeCell="G18" sqref="G18"/>
    </sheetView>
  </sheetViews>
  <sheetFormatPr defaultRowHeight="14.4" x14ac:dyDescent="0.3"/>
  <cols>
    <col min="1" max="1" width="17.44140625" customWidth="1"/>
    <col min="2" max="2" width="16.88671875" customWidth="1"/>
    <col min="3" max="3" width="16" customWidth="1"/>
    <col min="4" max="4" width="16.6640625" customWidth="1"/>
    <col min="5" max="5" width="16.33203125" customWidth="1"/>
    <col min="7" max="7" width="12" bestFit="1" customWidth="1"/>
    <col min="8" max="8" width="12.44140625" bestFit="1" customWidth="1"/>
    <col min="9" max="10" width="19" bestFit="1" customWidth="1"/>
  </cols>
  <sheetData>
    <row r="1" spans="1:9" ht="18" x14ac:dyDescent="0.3">
      <c r="A1" s="17" t="s">
        <v>102</v>
      </c>
      <c r="B1" s="17" t="s">
        <v>103</v>
      </c>
      <c r="C1" s="17" t="s">
        <v>104</v>
      </c>
      <c r="D1" s="17" t="s">
        <v>105</v>
      </c>
      <c r="E1" s="17" t="s">
        <v>106</v>
      </c>
    </row>
    <row r="2" spans="1:9" x14ac:dyDescent="0.3">
      <c r="A2" s="1" t="s">
        <v>107</v>
      </c>
      <c r="B2" s="1">
        <v>23</v>
      </c>
      <c r="C2" s="1">
        <v>15000</v>
      </c>
      <c r="D2" s="1">
        <v>0</v>
      </c>
      <c r="E2" s="1" t="s">
        <v>108</v>
      </c>
    </row>
    <row r="3" spans="1:9" x14ac:dyDescent="0.3">
      <c r="A3" s="1" t="s">
        <v>109</v>
      </c>
      <c r="B3" s="1">
        <v>45</v>
      </c>
      <c r="C3" s="1">
        <v>20000</v>
      </c>
      <c r="D3" s="1">
        <v>0</v>
      </c>
      <c r="E3" s="1" t="s">
        <v>110</v>
      </c>
      <c r="H3" s="10" t="s">
        <v>64</v>
      </c>
      <c r="I3" t="s">
        <v>130</v>
      </c>
    </row>
    <row r="4" spans="1:9" x14ac:dyDescent="0.3">
      <c r="A4" s="1" t="s">
        <v>111</v>
      </c>
      <c r="B4" s="1">
        <v>34</v>
      </c>
      <c r="C4" s="1">
        <v>34000</v>
      </c>
      <c r="D4" s="1">
        <v>7000</v>
      </c>
      <c r="E4" s="1" t="s">
        <v>112</v>
      </c>
      <c r="H4" s="11" t="s">
        <v>108</v>
      </c>
      <c r="I4">
        <v>4600</v>
      </c>
    </row>
    <row r="5" spans="1:9" x14ac:dyDescent="0.3">
      <c r="A5" s="1" t="s">
        <v>113</v>
      </c>
      <c r="B5" s="1">
        <v>18</v>
      </c>
      <c r="C5" s="1">
        <v>21000</v>
      </c>
      <c r="D5" s="1">
        <v>0</v>
      </c>
      <c r="E5" s="1" t="s">
        <v>114</v>
      </c>
      <c r="H5" s="11" t="s">
        <v>114</v>
      </c>
      <c r="I5">
        <v>10000</v>
      </c>
    </row>
    <row r="6" spans="1:9" x14ac:dyDescent="0.3">
      <c r="A6" s="1" t="s">
        <v>115</v>
      </c>
      <c r="B6" s="1">
        <v>26</v>
      </c>
      <c r="C6" s="1">
        <v>30500</v>
      </c>
      <c r="D6" s="1">
        <v>4600</v>
      </c>
      <c r="E6" s="1" t="s">
        <v>108</v>
      </c>
      <c r="G6" s="9"/>
      <c r="H6" s="11" t="s">
        <v>110</v>
      </c>
      <c r="I6">
        <v>16400</v>
      </c>
    </row>
    <row r="7" spans="1:9" x14ac:dyDescent="0.3">
      <c r="A7" s="1" t="s">
        <v>116</v>
      </c>
      <c r="B7" s="1">
        <v>65</v>
      </c>
      <c r="C7" s="1">
        <v>33700</v>
      </c>
      <c r="D7" s="1">
        <v>500</v>
      </c>
      <c r="E7" s="1" t="s">
        <v>110</v>
      </c>
      <c r="H7" s="11" t="s">
        <v>112</v>
      </c>
      <c r="I7">
        <v>12800</v>
      </c>
    </row>
    <row r="8" spans="1:9" x14ac:dyDescent="0.3">
      <c r="A8" s="1" t="s">
        <v>117</v>
      </c>
      <c r="B8" s="1">
        <v>73</v>
      </c>
      <c r="C8" s="1">
        <v>36900</v>
      </c>
      <c r="D8" s="1">
        <v>0</v>
      </c>
      <c r="E8" s="1" t="s">
        <v>112</v>
      </c>
      <c r="H8" s="11" t="s">
        <v>65</v>
      </c>
      <c r="I8">
        <v>43800</v>
      </c>
    </row>
    <row r="9" spans="1:9" x14ac:dyDescent="0.3">
      <c r="A9" s="1" t="s">
        <v>118</v>
      </c>
      <c r="B9" s="1">
        <v>55</v>
      </c>
      <c r="C9" s="1">
        <v>40100</v>
      </c>
      <c r="D9" s="1">
        <v>2100</v>
      </c>
      <c r="E9" s="1" t="s">
        <v>114</v>
      </c>
    </row>
    <row r="10" spans="1:9" x14ac:dyDescent="0.3">
      <c r="A10" s="1" t="s">
        <v>119</v>
      </c>
      <c r="B10" s="1">
        <v>48</v>
      </c>
      <c r="C10" s="1">
        <v>43300</v>
      </c>
      <c r="D10" s="1">
        <v>0</v>
      </c>
      <c r="E10" s="1" t="s">
        <v>108</v>
      </c>
    </row>
    <row r="11" spans="1:9" x14ac:dyDescent="0.3">
      <c r="A11" s="1" t="s">
        <v>120</v>
      </c>
      <c r="B11" s="1">
        <v>35</v>
      </c>
      <c r="C11" s="1">
        <v>46500</v>
      </c>
      <c r="D11" s="1">
        <v>0</v>
      </c>
      <c r="E11" s="1" t="s">
        <v>110</v>
      </c>
    </row>
    <row r="12" spans="1:9" x14ac:dyDescent="0.3">
      <c r="A12" s="1" t="s">
        <v>121</v>
      </c>
      <c r="B12" s="1">
        <v>38</v>
      </c>
      <c r="C12" s="1">
        <v>49700</v>
      </c>
      <c r="D12" s="1">
        <v>0</v>
      </c>
      <c r="E12" s="1" t="s">
        <v>112</v>
      </c>
    </row>
    <row r="13" spans="1:9" x14ac:dyDescent="0.3">
      <c r="A13" s="1" t="s">
        <v>122</v>
      </c>
      <c r="B13" s="1">
        <v>21</v>
      </c>
      <c r="C13" s="1">
        <v>52900</v>
      </c>
      <c r="D13" s="1">
        <v>900</v>
      </c>
      <c r="E13" s="1" t="s">
        <v>114</v>
      </c>
    </row>
    <row r="14" spans="1:9" x14ac:dyDescent="0.3">
      <c r="A14" s="1" t="s">
        <v>123</v>
      </c>
      <c r="B14" s="1">
        <v>19</v>
      </c>
      <c r="C14" s="1">
        <v>56100</v>
      </c>
      <c r="D14" s="1">
        <v>0</v>
      </c>
      <c r="E14" s="1" t="s">
        <v>108</v>
      </c>
    </row>
    <row r="15" spans="1:9" x14ac:dyDescent="0.3">
      <c r="A15" s="1" t="s">
        <v>124</v>
      </c>
      <c r="B15" s="1">
        <v>20</v>
      </c>
      <c r="C15" s="1">
        <v>59300</v>
      </c>
      <c r="D15" s="1">
        <v>15000</v>
      </c>
      <c r="E15" s="1" t="s">
        <v>110</v>
      </c>
    </row>
    <row r="16" spans="1:9" x14ac:dyDescent="0.3">
      <c r="A16" s="1" t="s">
        <v>125</v>
      </c>
      <c r="B16" s="1">
        <v>52</v>
      </c>
      <c r="C16" s="1">
        <v>62500</v>
      </c>
      <c r="D16" s="1">
        <v>3700</v>
      </c>
      <c r="E16" s="1" t="s">
        <v>112</v>
      </c>
    </row>
    <row r="17" spans="1:7" x14ac:dyDescent="0.3">
      <c r="A17" s="1" t="s">
        <v>126</v>
      </c>
      <c r="B17" s="1">
        <v>73</v>
      </c>
      <c r="C17" s="1">
        <v>33700</v>
      </c>
      <c r="D17" s="1">
        <v>0</v>
      </c>
      <c r="E17" s="1" t="s">
        <v>110</v>
      </c>
    </row>
    <row r="18" spans="1:7" x14ac:dyDescent="0.3">
      <c r="A18" s="1" t="s">
        <v>127</v>
      </c>
      <c r="B18" s="1">
        <v>55</v>
      </c>
      <c r="C18" s="1">
        <v>36900</v>
      </c>
      <c r="D18" s="1">
        <v>2100</v>
      </c>
      <c r="E18" s="1" t="s">
        <v>112</v>
      </c>
    </row>
    <row r="19" spans="1:7" x14ac:dyDescent="0.3">
      <c r="A19" s="1" t="s">
        <v>128</v>
      </c>
      <c r="B19" s="1">
        <v>48</v>
      </c>
      <c r="C19" s="1">
        <v>40100</v>
      </c>
      <c r="D19" s="1">
        <v>7000</v>
      </c>
      <c r="E19" s="1" t="s">
        <v>114</v>
      </c>
    </row>
    <row r="20" spans="1:7" x14ac:dyDescent="0.3">
      <c r="A20" s="1" t="s">
        <v>129</v>
      </c>
      <c r="B20" s="1">
        <v>35</v>
      </c>
      <c r="C20" s="1">
        <v>20000</v>
      </c>
      <c r="D20" s="1">
        <v>900</v>
      </c>
      <c r="E20" s="1" t="s">
        <v>110</v>
      </c>
    </row>
    <row r="22" spans="1:7" ht="15.6" x14ac:dyDescent="0.3">
      <c r="A22" s="38" t="s">
        <v>28</v>
      </c>
      <c r="B22" s="38"/>
      <c r="C22" s="38"/>
    </row>
    <row r="23" spans="1:7" ht="15.6" x14ac:dyDescent="0.3">
      <c r="A23" s="18" t="s">
        <v>29</v>
      </c>
      <c r="B23" s="18"/>
      <c r="C23" s="3">
        <f>SUM(C2:C20)</f>
        <v>732200</v>
      </c>
      <c r="E23" s="39" t="s">
        <v>47</v>
      </c>
      <c r="F23" s="40"/>
      <c r="G23" s="41"/>
    </row>
    <row r="24" spans="1:7" x14ac:dyDescent="0.3">
      <c r="A24" s="18" t="s">
        <v>30</v>
      </c>
      <c r="B24" s="18"/>
      <c r="C24" s="3">
        <f>AVERAGE(C2:C20)</f>
        <v>38536.84210526316</v>
      </c>
      <c r="E24" s="18" t="s">
        <v>48</v>
      </c>
      <c r="F24" s="18"/>
      <c r="G24" s="6">
        <f>PMT(5%/12, 60, C23)</f>
        <v>-13817.517274144806</v>
      </c>
    </row>
    <row r="25" spans="1:7" x14ac:dyDescent="0.3">
      <c r="A25" s="18" t="s">
        <v>31</v>
      </c>
      <c r="B25" s="18"/>
      <c r="C25" s="3">
        <f>MIN(C2:C20)</f>
        <v>15000</v>
      </c>
      <c r="E25" s="18" t="s">
        <v>49</v>
      </c>
      <c r="F25" s="18"/>
      <c r="G25" s="6">
        <f>NPV(5%,C2:C20)</f>
        <v>442337.62254872458</v>
      </c>
    </row>
    <row r="26" spans="1:7" x14ac:dyDescent="0.3">
      <c r="A26" s="18" t="s">
        <v>32</v>
      </c>
      <c r="B26" s="18"/>
      <c r="C26" s="3">
        <f>MAX(C2:C20)</f>
        <v>62500</v>
      </c>
    </row>
    <row r="27" spans="1:7" ht="15.6" x14ac:dyDescent="0.3">
      <c r="A27" s="18" t="s">
        <v>33</v>
      </c>
      <c r="B27" s="18"/>
      <c r="C27" s="3">
        <f>COUNT(C2:C20)</f>
        <v>19</v>
      </c>
      <c r="E27" s="38" t="s">
        <v>50</v>
      </c>
      <c r="F27" s="38"/>
      <c r="G27" s="38"/>
    </row>
    <row r="28" spans="1:7" x14ac:dyDescent="0.3">
      <c r="E28" s="18" t="s">
        <v>51</v>
      </c>
      <c r="F28" s="18"/>
      <c r="G28" s="3">
        <f>VLOOKUP(A2,A2:E20,4,FALSE)</f>
        <v>0</v>
      </c>
    </row>
    <row r="29" spans="1:7" ht="15.6" x14ac:dyDescent="0.3">
      <c r="A29" s="38" t="s">
        <v>34</v>
      </c>
      <c r="B29" s="38"/>
      <c r="C29" s="38"/>
      <c r="E29" s="18" t="s">
        <v>52</v>
      </c>
      <c r="F29" s="18"/>
      <c r="G29" s="3">
        <f>HLOOKUP(B2,A2:E20,4,FALSE)</f>
        <v>18</v>
      </c>
    </row>
    <row r="30" spans="1:7" x14ac:dyDescent="0.3">
      <c r="A30" s="18" t="s">
        <v>35</v>
      </c>
      <c r="B30" s="18"/>
      <c r="C30" s="3" t="str">
        <f>IF(B2&gt;10,"SATISFYING","NOT SATISFYING")</f>
        <v>SATISFYING</v>
      </c>
      <c r="E30" s="18" t="s">
        <v>53</v>
      </c>
      <c r="F30" s="18"/>
      <c r="G30" s="3"/>
    </row>
    <row r="31" spans="1:7" x14ac:dyDescent="0.3">
      <c r="A31" s="18" t="s">
        <v>36</v>
      </c>
      <c r="B31" s="18"/>
      <c r="C31" s="3" t="b">
        <f>AND(B2&gt;18,E2="HEALTH")</f>
        <v>1</v>
      </c>
    </row>
    <row r="32" spans="1:7" ht="15.6" x14ac:dyDescent="0.3">
      <c r="A32" s="18" t="s">
        <v>37</v>
      </c>
      <c r="B32" s="18"/>
      <c r="C32" s="3" t="b">
        <f>OR(D8&lt;200000,B8="camera")</f>
        <v>1</v>
      </c>
      <c r="E32" s="38" t="s">
        <v>54</v>
      </c>
      <c r="F32" s="38"/>
      <c r="G32" s="38"/>
    </row>
    <row r="33" spans="1:7" x14ac:dyDescent="0.3">
      <c r="E33" s="18" t="s">
        <v>55</v>
      </c>
      <c r="F33" s="18"/>
      <c r="G33" s="3">
        <f>AVERAGE(C2:C20)</f>
        <v>38536.84210526316</v>
      </c>
    </row>
    <row r="34" spans="1:7" ht="15.6" x14ac:dyDescent="0.3">
      <c r="A34" s="39" t="s">
        <v>38</v>
      </c>
      <c r="B34" s="40"/>
      <c r="C34" s="41"/>
      <c r="E34" s="18" t="s">
        <v>56</v>
      </c>
      <c r="F34" s="18"/>
      <c r="G34" s="3">
        <f>MEDIAN(C2:C20)</f>
        <v>36900</v>
      </c>
    </row>
    <row r="35" spans="1:7" x14ac:dyDescent="0.3">
      <c r="A35" s="18" t="s">
        <v>39</v>
      </c>
      <c r="B35" s="18"/>
      <c r="C35" s="3" t="str">
        <f>LEFT(E14,3)</f>
        <v>Hea</v>
      </c>
      <c r="E35" s="18" t="s">
        <v>57</v>
      </c>
      <c r="F35" s="18"/>
      <c r="G35" s="3">
        <f>MODE(C2:C20)</f>
        <v>20000</v>
      </c>
    </row>
    <row r="36" spans="1:7" x14ac:dyDescent="0.3">
      <c r="A36" s="18" t="s">
        <v>40</v>
      </c>
      <c r="B36" s="18"/>
      <c r="C36" s="3" t="str">
        <f>RIGHT(E14,3)</f>
        <v>lth</v>
      </c>
      <c r="E36" s="18" t="s">
        <v>58</v>
      </c>
      <c r="F36" s="18"/>
      <c r="G36" s="3">
        <f>STDEV(C2:C20)</f>
        <v>13787.643845379009</v>
      </c>
    </row>
    <row r="37" spans="1:7" x14ac:dyDescent="0.3">
      <c r="A37" s="18" t="s">
        <v>41</v>
      </c>
      <c r="B37" s="18"/>
      <c r="C37" s="3" t="str">
        <f>MID(E14,3,3)</f>
        <v>alt</v>
      </c>
      <c r="E37" s="18" t="s">
        <v>59</v>
      </c>
      <c r="F37" s="18"/>
      <c r="G37" s="3">
        <f>CORREL(C2:C20,D2:D20)</f>
        <v>0.35114777765051325</v>
      </c>
    </row>
    <row r="38" spans="1:7" x14ac:dyDescent="0.3">
      <c r="A38" s="18" t="s">
        <v>42</v>
      </c>
      <c r="B38" s="18"/>
      <c r="C38" s="3" t="str">
        <f>CONCATENATE(A14," ",E14)</f>
        <v>P1013 Health</v>
      </c>
    </row>
    <row r="40" spans="1:7" ht="15.6" x14ac:dyDescent="0.3">
      <c r="A40" s="38" t="s">
        <v>43</v>
      </c>
      <c r="B40" s="38"/>
      <c r="C40" s="38"/>
    </row>
    <row r="41" spans="1:7" x14ac:dyDescent="0.3">
      <c r="A41" s="18" t="s">
        <v>44</v>
      </c>
      <c r="B41" s="18"/>
      <c r="C41" s="4">
        <f ca="1">TODAY()</f>
        <v>46071</v>
      </c>
    </row>
    <row r="42" spans="1:7" x14ac:dyDescent="0.3">
      <c r="A42" s="18" t="s">
        <v>45</v>
      </c>
      <c r="B42" s="18"/>
      <c r="C42" s="5">
        <f ca="1">NOW()</f>
        <v>46071.227421296295</v>
      </c>
    </row>
    <row r="43" spans="1:7" x14ac:dyDescent="0.3">
      <c r="A43" s="18" t="s">
        <v>46</v>
      </c>
      <c r="B43" s="18"/>
      <c r="C43" s="3" t="e" cm="1">
        <f t="array" aca="1" ref="C43" ca="1">dateif(A1:E20,C41)</f>
        <v>#NAME?</v>
      </c>
    </row>
  </sheetData>
  <mergeCells count="32">
    <mergeCell ref="E37:F37"/>
    <mergeCell ref="A43:B43"/>
    <mergeCell ref="A37:B37"/>
    <mergeCell ref="A38:B38"/>
    <mergeCell ref="A40:C40"/>
    <mergeCell ref="A41:B41"/>
    <mergeCell ref="A42:B42"/>
    <mergeCell ref="E23:G23"/>
    <mergeCell ref="E24:F24"/>
    <mergeCell ref="E25:F25"/>
    <mergeCell ref="E27:G27"/>
    <mergeCell ref="E28:F28"/>
    <mergeCell ref="E29:F29"/>
    <mergeCell ref="E30:F30"/>
    <mergeCell ref="E32:G32"/>
    <mergeCell ref="E33:F33"/>
    <mergeCell ref="A36:B36"/>
    <mergeCell ref="A29:C29"/>
    <mergeCell ref="A30:B30"/>
    <mergeCell ref="A31:B31"/>
    <mergeCell ref="A32:B32"/>
    <mergeCell ref="A34:C34"/>
    <mergeCell ref="A35:B35"/>
    <mergeCell ref="E34:F34"/>
    <mergeCell ref="E35:F35"/>
    <mergeCell ref="E36:F36"/>
    <mergeCell ref="A27:B27"/>
    <mergeCell ref="A22:C22"/>
    <mergeCell ref="A23:B23"/>
    <mergeCell ref="A24:B24"/>
    <mergeCell ref="A25:B25"/>
    <mergeCell ref="A26:B26"/>
  </mergeCells>
  <phoneticPr fontId="3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Finance</vt:lpstr>
      <vt:lpstr>HR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Yadav</dc:creator>
  <cp:lastModifiedBy>Hitesh Yadav</cp:lastModifiedBy>
  <dcterms:created xsi:type="dcterms:W3CDTF">2026-02-15T05:20:59Z</dcterms:created>
  <dcterms:modified xsi:type="dcterms:W3CDTF">2026-02-18T00:05:30Z</dcterms:modified>
</cp:coreProperties>
</file>