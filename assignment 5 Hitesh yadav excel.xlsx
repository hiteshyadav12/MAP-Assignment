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tes\OneDrive\Documents\"/>
    </mc:Choice>
  </mc:AlternateContent>
  <xr:revisionPtr revIDLastSave="0" documentId="8_{E109E2C3-71B7-4B54-889A-D8572CBB766C}" xr6:coauthVersionLast="47" xr6:coauthVersionMax="47" xr10:uidLastSave="{00000000-0000-0000-0000-000000000000}"/>
  <bookViews>
    <workbookView xWindow="-108" yWindow="-108" windowWidth="23256" windowHeight="12456" xr2:uid="{C1E2D0B0-989A-4395-B514-594C9BBDB3A0}"/>
  </bookViews>
  <sheets>
    <sheet name="Sheet1" sheetId="1" r:id="rId1"/>
  </sheets>
  <definedNames>
    <definedName name="_xlchart.v1.0" hidden="1">Sheet1!$B$31:$B$41</definedName>
    <definedName name="_xlchart.v1.1" hidden="1">Sheet1!$C$31:$C$41</definedName>
    <definedName name="_xlchart.v1.2" hidden="1">Sheet1!$B$31:$B$41</definedName>
    <definedName name="_xlchart.v1.3" hidden="1">Sheet1!$C$31:$C$41</definedName>
    <definedName name="_xlchart.v1.4" hidden="1">Sheet1!$B$31:$B$41</definedName>
    <definedName name="_xlchart.v1.5" hidden="1">Sheet1!$C$31:$C$41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C38" i="1"/>
  <c r="C37" i="1"/>
  <c r="C36" i="1"/>
  <c r="C35" i="1"/>
  <c r="C34" i="1"/>
  <c r="C33" i="1"/>
  <c r="C24" i="1" l="1"/>
  <c r="C23" i="1"/>
  <c r="C22" i="1"/>
</calcChain>
</file>

<file path=xl/sharedStrings.xml><?xml version="1.0" encoding="utf-8"?>
<sst xmlns="http://schemas.openxmlformats.org/spreadsheetml/2006/main" count="67" uniqueCount="52">
  <si>
    <t>WAREHOUSE INVENTORY OPTIMIZATION "SMARTSTORE" LTD"</t>
  </si>
  <si>
    <t>Product ID</t>
  </si>
  <si>
    <t>Product Name</t>
  </si>
  <si>
    <t>Category</t>
  </si>
  <si>
    <t>Opening Stock</t>
  </si>
  <si>
    <t>Unit Sold</t>
  </si>
  <si>
    <t>Purchase Cost</t>
  </si>
  <si>
    <t>Reorder Level</t>
  </si>
  <si>
    <t>Closing Stock</t>
  </si>
  <si>
    <t>Inventory Value</t>
  </si>
  <si>
    <t>Stock Status</t>
  </si>
  <si>
    <t>PRD001</t>
  </si>
  <si>
    <t>T-Shirt</t>
  </si>
  <si>
    <t>Clothing</t>
  </si>
  <si>
    <t>PRD002</t>
  </si>
  <si>
    <t>Jeans</t>
  </si>
  <si>
    <t>PRD003</t>
  </si>
  <si>
    <t>Jacket</t>
  </si>
  <si>
    <t>PRD004</t>
  </si>
  <si>
    <t>Sandals</t>
  </si>
  <si>
    <t>FootWear</t>
  </si>
  <si>
    <t>PRD005</t>
  </si>
  <si>
    <t>Shoes</t>
  </si>
  <si>
    <t>PRD006</t>
  </si>
  <si>
    <t>Refrigerator</t>
  </si>
  <si>
    <t>Home Appliances</t>
  </si>
  <si>
    <t>PRD007</t>
  </si>
  <si>
    <t>Microwave Oven</t>
  </si>
  <si>
    <t>PRD008</t>
  </si>
  <si>
    <t>Mixer Grinder</t>
  </si>
  <si>
    <t>PRD009</t>
  </si>
  <si>
    <t>Washing Machine</t>
  </si>
  <si>
    <t>PRD010</t>
  </si>
  <si>
    <t>TV</t>
  </si>
  <si>
    <t>Electronics</t>
  </si>
  <si>
    <t>PRD011</t>
  </si>
  <si>
    <t>Laptop</t>
  </si>
  <si>
    <t>PRD012</t>
  </si>
  <si>
    <t>Smartphones</t>
  </si>
  <si>
    <t>PRD013</t>
  </si>
  <si>
    <t>Office Chair</t>
  </si>
  <si>
    <t>Furniture</t>
  </si>
  <si>
    <t>PRD014</t>
  </si>
  <si>
    <t>Study Table</t>
  </si>
  <si>
    <t>PRD015</t>
  </si>
  <si>
    <t>Backpack</t>
  </si>
  <si>
    <t>Accessories</t>
  </si>
  <si>
    <t>INVENTORY  METRICS</t>
  </si>
  <si>
    <t>Total Inventory Value</t>
  </si>
  <si>
    <t>Average Stock Level</t>
  </si>
  <si>
    <t>Item Below Reorder Level</t>
  </si>
  <si>
    <t>Summary Table of PIE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</si>
</sst>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0" borderId="0"/>
  </cellStyleXfs>
  <cellXfs count="19">
    <xf numFmtId="0" fontId="0" fillId="0" borderId="0" xfId="0"/>
    <xf numFmtId="0" fontId="3" fillId="3" borderId="2" xfId="0" applyFont="1" applyFill="1" applyBorder="1"/>
    <xf numFmtId="0" fontId="6" fillId="3" borderId="2" xfId="0" applyFont="1" applyFill="1" applyBorder="1"/>
    <xf numFmtId="0" fontId="0" fillId="0" borderId="0" xfId="0"/>
    <xf numFmtId="0" fontId="5" fillId="3" borderId="2" xfId="0" applyFont="1" applyFill="1" applyBorder="1" applyAlignment="1">
      <alignment horizontal="center"/>
    </xf>
    <xf numFmtId="0" fontId="1" fillId="4" borderId="1" xfId="1" applyFill="1"/>
    <xf numFmtId="0" fontId="0" fillId="4" borderId="13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2" fillId="4" borderId="5" xfId="0" applyFont="1" applyFill="1" applyBorder="1"/>
    <xf numFmtId="0" fontId="0" fillId="4" borderId="6" xfId="0" applyFill="1" applyBorder="1" applyAlignment="1">
      <alignment horizontal="center"/>
    </xf>
    <xf numFmtId="0" fontId="2" fillId="4" borderId="7" xfId="0" applyFont="1" applyFill="1" applyBorder="1"/>
    <xf numFmtId="0" fontId="0" fillId="4" borderId="8" xfId="0" applyFill="1" applyBorder="1" applyAlignment="1">
      <alignment horizont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</cellXfs>
  <cellStyles count="3">
    <cellStyle name="Normal" xfId="0" builtinId="0"/>
    <cellStyle name="Normal 2" xfId="2" xr:uid="{09F5055F-11B4-4C86-916F-FD1A3AC3E357}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Opening 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Sheet1!$D$3:$D$17</c:f>
              <c:numCache>
                <c:formatCode>General</c:formatCode>
                <c:ptCount val="15"/>
                <c:pt idx="0">
                  <c:v>100</c:v>
                </c:pt>
                <c:pt idx="1">
                  <c:v>80</c:v>
                </c:pt>
                <c:pt idx="2">
                  <c:v>50</c:v>
                </c:pt>
                <c:pt idx="3">
                  <c:v>40</c:v>
                </c:pt>
                <c:pt idx="4">
                  <c:v>90</c:v>
                </c:pt>
                <c:pt idx="5">
                  <c:v>70</c:v>
                </c:pt>
                <c:pt idx="6">
                  <c:v>60</c:v>
                </c:pt>
                <c:pt idx="7">
                  <c:v>25</c:v>
                </c:pt>
                <c:pt idx="8">
                  <c:v>35</c:v>
                </c:pt>
                <c:pt idx="9">
                  <c:v>30</c:v>
                </c:pt>
                <c:pt idx="10">
                  <c:v>60</c:v>
                </c:pt>
                <c:pt idx="11">
                  <c:v>65</c:v>
                </c:pt>
                <c:pt idx="12">
                  <c:v>35</c:v>
                </c:pt>
                <c:pt idx="13">
                  <c:v>80</c:v>
                </c:pt>
                <c:pt idx="1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5-42D9-A14B-DF1302199EEA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Unit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Sheet1!$E$3:$E$17</c:f>
              <c:numCache>
                <c:formatCode>General</c:formatCode>
                <c:ptCount val="15"/>
                <c:pt idx="0">
                  <c:v>40</c:v>
                </c:pt>
                <c:pt idx="1">
                  <c:v>50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45</c:v>
                </c:pt>
                <c:pt idx="6">
                  <c:v>30</c:v>
                </c:pt>
                <c:pt idx="7">
                  <c:v>10</c:v>
                </c:pt>
                <c:pt idx="8">
                  <c:v>20</c:v>
                </c:pt>
                <c:pt idx="9">
                  <c:v>20</c:v>
                </c:pt>
                <c:pt idx="10">
                  <c:v>45</c:v>
                </c:pt>
                <c:pt idx="11">
                  <c:v>10</c:v>
                </c:pt>
                <c:pt idx="12">
                  <c:v>15</c:v>
                </c:pt>
                <c:pt idx="13">
                  <c:v>15</c:v>
                </c:pt>
                <c:pt idx="1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65-42D9-A14B-DF1302199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7039232"/>
        <c:axId val="397030592"/>
      </c:barChart>
      <c:catAx>
        <c:axId val="397039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30592"/>
        <c:crosses val="autoZero"/>
        <c:auto val="1"/>
        <c:lblAlgn val="ctr"/>
        <c:lblOffset val="100"/>
        <c:noMultiLvlLbl val="0"/>
      </c:catAx>
      <c:valAx>
        <c:axId val="3970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3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1565656565656568E-2"/>
          <c:y val="0.26529579140815807"/>
          <c:w val="0.93055555555555558"/>
          <c:h val="0.4589562730618453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Sheet1!$B$33:$B$38</c:f>
              <c:strCache>
                <c:ptCount val="6"/>
                <c:pt idx="0">
                  <c:v>Clothing</c:v>
                </c:pt>
                <c:pt idx="1">
                  <c:v>FootWear</c:v>
                </c:pt>
                <c:pt idx="2">
                  <c:v>Home Appliances</c:v>
                </c:pt>
                <c:pt idx="3">
                  <c:v>Electronics</c:v>
                </c:pt>
                <c:pt idx="4">
                  <c:v>Furniture</c:v>
                </c:pt>
                <c:pt idx="5">
                  <c:v>Accessories</c:v>
                </c:pt>
              </c:strCache>
            </c:strRef>
          </c:cat>
          <c:val>
            <c:numRef>
              <c:f>Sheet1!$C$33:$C$38</c:f>
              <c:numCache>
                <c:formatCode>General</c:formatCode>
                <c:ptCount val="6"/>
                <c:pt idx="0">
                  <c:v>4080000</c:v>
                </c:pt>
                <c:pt idx="1">
                  <c:v>1400000</c:v>
                </c:pt>
                <c:pt idx="2">
                  <c:v>2492500</c:v>
                </c:pt>
                <c:pt idx="3">
                  <c:v>3297500</c:v>
                </c:pt>
                <c:pt idx="4">
                  <c:v>4382500</c:v>
                </c:pt>
                <c:pt idx="5">
                  <c:v>1035000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C27-B950-70A195DD24A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18</xdr:row>
      <xdr:rowOff>19050</xdr:rowOff>
    </xdr:from>
    <xdr:to>
      <xdr:col>9</xdr:col>
      <xdr:colOff>160020</xdr:colOff>
      <xdr:row>32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5EF18-07C3-E010-7C1B-676FEB9AC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83820</xdr:colOff>
      <xdr:row>33</xdr:row>
      <xdr:rowOff>76200</xdr:rowOff>
    </xdr:from>
    <xdr:to>
      <xdr:col>8</xdr:col>
      <xdr:colOff>731520</xdr:colOff>
      <xdr:row>46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C49AC9-16E9-C996-BCA2-25FC1B822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C66E-3B77-4DA9-86A5-D2EC10259E0A}">
  <dimension ref="A1:J39"/>
  <sheetViews>
    <sheetView tabSelected="1" topLeftCell="A23" workbookViewId="0">
      <selection activeCell="J45" sqref="J45"/>
    </sheetView>
  </sheetViews>
  <sheetFormatPr defaultRowHeight="14.4" x14ac:dyDescent="0.3"/>
  <cols>
    <col min="1" max="1" width="11.33203125" customWidth="1"/>
    <col min="2" max="2" width="20.6640625" customWidth="1"/>
    <col min="3" max="3" width="16.109375" customWidth="1"/>
    <col min="4" max="4" width="13.33203125" customWidth="1"/>
    <col min="5" max="5" width="11.6640625" customWidth="1"/>
    <col min="6" max="6" width="13.77734375" customWidth="1"/>
    <col min="7" max="7" width="12.6640625" customWidth="1"/>
    <col min="8" max="8" width="12.33203125" customWidth="1"/>
    <col min="9" max="9" width="14.77734375" customWidth="1"/>
    <col min="10" max="10" width="16.33203125" customWidth="1"/>
  </cols>
  <sheetData>
    <row r="1" spans="1:10" ht="25.8" x14ac:dyDescent="0.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21" customHeight="1" x14ac:dyDescent="0.3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s="5" t="s">
        <v>11</v>
      </c>
      <c r="B3" s="5" t="s">
        <v>12</v>
      </c>
      <c r="C3" s="5" t="s">
        <v>13</v>
      </c>
      <c r="D3" s="5">
        <v>100</v>
      </c>
      <c r="E3" s="5">
        <v>40</v>
      </c>
      <c r="F3" s="5">
        <v>12500</v>
      </c>
      <c r="G3" s="5">
        <v>25</v>
      </c>
      <c r="H3" s="5">
        <f>D3-E3</f>
        <v>60</v>
      </c>
      <c r="I3" s="5">
        <f>F3*H3</f>
        <v>750000</v>
      </c>
      <c r="J3" s="5" t="str">
        <f>IF(G3&lt;=H3,"Reorder Required","Sufficient")</f>
        <v>Reorder Required</v>
      </c>
    </row>
    <row r="4" spans="1:10" x14ac:dyDescent="0.3">
      <c r="A4" s="5" t="s">
        <v>14</v>
      </c>
      <c r="B4" s="5" t="s">
        <v>15</v>
      </c>
      <c r="C4" s="5" t="s">
        <v>13</v>
      </c>
      <c r="D4" s="5">
        <v>80</v>
      </c>
      <c r="E4" s="5">
        <v>50</v>
      </c>
      <c r="F4" s="5">
        <v>36000</v>
      </c>
      <c r="G4" s="5">
        <v>20</v>
      </c>
      <c r="H4" s="5">
        <f t="shared" ref="H4:H17" si="0">D4-E4</f>
        <v>30</v>
      </c>
      <c r="I4" s="5">
        <f t="shared" ref="I4:I17" si="1">F4*H4</f>
        <v>1080000</v>
      </c>
      <c r="J4" s="5" t="str">
        <f t="shared" ref="J4:J17" si="2">IF(G4&lt;=H4,"Reorder Required","Sufficient")</f>
        <v>Reorder Required</v>
      </c>
    </row>
    <row r="5" spans="1:10" x14ac:dyDescent="0.3">
      <c r="A5" s="5" t="s">
        <v>16</v>
      </c>
      <c r="B5" s="5" t="s">
        <v>17</v>
      </c>
      <c r="C5" s="5" t="s">
        <v>13</v>
      </c>
      <c r="D5" s="5">
        <v>50</v>
      </c>
      <c r="E5" s="5">
        <v>20</v>
      </c>
      <c r="F5" s="5">
        <v>75000</v>
      </c>
      <c r="G5" s="5">
        <v>15</v>
      </c>
      <c r="H5" s="5">
        <f t="shared" si="0"/>
        <v>30</v>
      </c>
      <c r="I5" s="5">
        <f t="shared" si="1"/>
        <v>2250000</v>
      </c>
      <c r="J5" s="5" t="str">
        <f t="shared" si="2"/>
        <v>Reorder Required</v>
      </c>
    </row>
    <row r="6" spans="1:10" x14ac:dyDescent="0.3">
      <c r="A6" s="5" t="s">
        <v>18</v>
      </c>
      <c r="B6" s="5" t="s">
        <v>19</v>
      </c>
      <c r="C6" s="5" t="s">
        <v>20</v>
      </c>
      <c r="D6" s="5">
        <v>40</v>
      </c>
      <c r="E6" s="5">
        <v>30</v>
      </c>
      <c r="F6" s="5">
        <v>20000</v>
      </c>
      <c r="G6" s="5">
        <v>10</v>
      </c>
      <c r="H6" s="5">
        <f t="shared" si="0"/>
        <v>10</v>
      </c>
      <c r="I6" s="5">
        <f t="shared" si="1"/>
        <v>200000</v>
      </c>
      <c r="J6" s="5" t="str">
        <f t="shared" si="2"/>
        <v>Reorder Required</v>
      </c>
    </row>
    <row r="7" spans="1:10" x14ac:dyDescent="0.3">
      <c r="A7" s="5" t="s">
        <v>21</v>
      </c>
      <c r="B7" s="5" t="s">
        <v>22</v>
      </c>
      <c r="C7" s="5" t="s">
        <v>20</v>
      </c>
      <c r="D7" s="5">
        <v>90</v>
      </c>
      <c r="E7" s="5">
        <v>60</v>
      </c>
      <c r="F7" s="5">
        <v>40000</v>
      </c>
      <c r="G7" s="5">
        <v>8</v>
      </c>
      <c r="H7" s="5">
        <f t="shared" si="0"/>
        <v>30</v>
      </c>
      <c r="I7" s="5">
        <f t="shared" si="1"/>
        <v>1200000</v>
      </c>
      <c r="J7" s="5" t="str">
        <f t="shared" si="2"/>
        <v>Reorder Required</v>
      </c>
    </row>
    <row r="8" spans="1:10" x14ac:dyDescent="0.3">
      <c r="A8" s="5" t="s">
        <v>23</v>
      </c>
      <c r="B8" s="5" t="s">
        <v>24</v>
      </c>
      <c r="C8" s="5" t="s">
        <v>25</v>
      </c>
      <c r="D8" s="5">
        <v>70</v>
      </c>
      <c r="E8" s="5">
        <v>45</v>
      </c>
      <c r="F8" s="5">
        <v>17500</v>
      </c>
      <c r="G8" s="5">
        <v>12</v>
      </c>
      <c r="H8" s="5">
        <f t="shared" si="0"/>
        <v>25</v>
      </c>
      <c r="I8" s="5">
        <f t="shared" si="1"/>
        <v>437500</v>
      </c>
      <c r="J8" s="5" t="str">
        <f t="shared" si="2"/>
        <v>Reorder Required</v>
      </c>
    </row>
    <row r="9" spans="1:10" x14ac:dyDescent="0.3">
      <c r="A9" s="5" t="s">
        <v>26</v>
      </c>
      <c r="B9" s="5" t="s">
        <v>27</v>
      </c>
      <c r="C9" s="5" t="s">
        <v>25</v>
      </c>
      <c r="D9" s="5">
        <v>60</v>
      </c>
      <c r="E9" s="5">
        <v>30</v>
      </c>
      <c r="F9" s="5">
        <v>50000</v>
      </c>
      <c r="G9" s="5">
        <v>6</v>
      </c>
      <c r="H9" s="5">
        <f t="shared" si="0"/>
        <v>30</v>
      </c>
      <c r="I9" s="5">
        <f t="shared" si="1"/>
        <v>1500000</v>
      </c>
      <c r="J9" s="5" t="str">
        <f t="shared" si="2"/>
        <v>Reorder Required</v>
      </c>
    </row>
    <row r="10" spans="1:10" x14ac:dyDescent="0.3">
      <c r="A10" s="5" t="s">
        <v>28</v>
      </c>
      <c r="B10" s="5" t="s">
        <v>29</v>
      </c>
      <c r="C10" s="5" t="s">
        <v>25</v>
      </c>
      <c r="D10" s="5">
        <v>25</v>
      </c>
      <c r="E10" s="5">
        <v>10</v>
      </c>
      <c r="F10" s="5">
        <v>12000</v>
      </c>
      <c r="G10" s="5">
        <v>7</v>
      </c>
      <c r="H10" s="5">
        <f t="shared" si="0"/>
        <v>15</v>
      </c>
      <c r="I10" s="5">
        <f t="shared" si="1"/>
        <v>180000</v>
      </c>
      <c r="J10" s="5" t="str">
        <f t="shared" si="2"/>
        <v>Reorder Required</v>
      </c>
    </row>
    <row r="11" spans="1:10" x14ac:dyDescent="0.3">
      <c r="A11" s="5" t="s">
        <v>30</v>
      </c>
      <c r="B11" s="5" t="s">
        <v>31</v>
      </c>
      <c r="C11" s="5" t="s">
        <v>25</v>
      </c>
      <c r="D11" s="5">
        <v>35</v>
      </c>
      <c r="E11" s="5">
        <v>20</v>
      </c>
      <c r="F11" s="5">
        <v>25000</v>
      </c>
      <c r="G11" s="5">
        <v>10</v>
      </c>
      <c r="H11" s="5">
        <f t="shared" si="0"/>
        <v>15</v>
      </c>
      <c r="I11" s="5">
        <f t="shared" si="1"/>
        <v>375000</v>
      </c>
      <c r="J11" s="5" t="str">
        <f t="shared" si="2"/>
        <v>Reorder Required</v>
      </c>
    </row>
    <row r="12" spans="1:10" x14ac:dyDescent="0.3">
      <c r="A12" s="5" t="s">
        <v>32</v>
      </c>
      <c r="B12" s="5" t="s">
        <v>33</v>
      </c>
      <c r="C12" s="5" t="s">
        <v>34</v>
      </c>
      <c r="D12" s="5">
        <v>30</v>
      </c>
      <c r="E12" s="5">
        <v>20</v>
      </c>
      <c r="F12" s="5">
        <v>65000</v>
      </c>
      <c r="G12" s="5">
        <v>15</v>
      </c>
      <c r="H12" s="5">
        <f t="shared" si="0"/>
        <v>10</v>
      </c>
      <c r="I12" s="5">
        <f t="shared" si="1"/>
        <v>650000</v>
      </c>
      <c r="J12" s="5" t="str">
        <f t="shared" si="2"/>
        <v>Sufficient</v>
      </c>
    </row>
    <row r="13" spans="1:10" x14ac:dyDescent="0.3">
      <c r="A13" s="5" t="s">
        <v>35</v>
      </c>
      <c r="B13" s="5" t="s">
        <v>36</v>
      </c>
      <c r="C13" s="5" t="s">
        <v>34</v>
      </c>
      <c r="D13" s="5">
        <v>60</v>
      </c>
      <c r="E13" s="5">
        <v>45</v>
      </c>
      <c r="F13" s="5">
        <v>22500</v>
      </c>
      <c r="G13" s="5">
        <v>30</v>
      </c>
      <c r="H13" s="5">
        <f t="shared" si="0"/>
        <v>15</v>
      </c>
      <c r="I13" s="5">
        <f t="shared" si="1"/>
        <v>337500</v>
      </c>
      <c r="J13" s="5" t="str">
        <f t="shared" si="2"/>
        <v>Sufficient</v>
      </c>
    </row>
    <row r="14" spans="1:10" x14ac:dyDescent="0.3">
      <c r="A14" s="5" t="s">
        <v>37</v>
      </c>
      <c r="B14" s="5" t="s">
        <v>38</v>
      </c>
      <c r="C14" s="5" t="s">
        <v>34</v>
      </c>
      <c r="D14" s="5">
        <v>65</v>
      </c>
      <c r="E14" s="5">
        <v>10</v>
      </c>
      <c r="F14" s="5">
        <v>42000</v>
      </c>
      <c r="G14" s="5">
        <v>20</v>
      </c>
      <c r="H14" s="5">
        <f t="shared" si="0"/>
        <v>55</v>
      </c>
      <c r="I14" s="5">
        <f t="shared" si="1"/>
        <v>2310000</v>
      </c>
      <c r="J14" s="5" t="str">
        <f t="shared" si="2"/>
        <v>Reorder Required</v>
      </c>
    </row>
    <row r="15" spans="1:10" x14ac:dyDescent="0.3">
      <c r="A15" s="5" t="s">
        <v>39</v>
      </c>
      <c r="B15" s="5" t="s">
        <v>40</v>
      </c>
      <c r="C15" s="5" t="s">
        <v>41</v>
      </c>
      <c r="D15" s="5">
        <v>35</v>
      </c>
      <c r="E15" s="5">
        <v>15</v>
      </c>
      <c r="F15" s="5">
        <v>68000</v>
      </c>
      <c r="G15" s="5">
        <v>5</v>
      </c>
      <c r="H15" s="5">
        <f t="shared" si="0"/>
        <v>20</v>
      </c>
      <c r="I15" s="5">
        <f t="shared" si="1"/>
        <v>1360000</v>
      </c>
      <c r="J15" s="5" t="str">
        <f t="shared" si="2"/>
        <v>Reorder Required</v>
      </c>
    </row>
    <row r="16" spans="1:10" x14ac:dyDescent="0.3">
      <c r="A16" s="5" t="s">
        <v>42</v>
      </c>
      <c r="B16" s="5" t="s">
        <v>43</v>
      </c>
      <c r="C16" s="5" t="s">
        <v>41</v>
      </c>
      <c r="D16" s="5">
        <v>80</v>
      </c>
      <c r="E16" s="5">
        <v>15</v>
      </c>
      <c r="F16" s="5">
        <v>46500</v>
      </c>
      <c r="G16" s="5">
        <v>4</v>
      </c>
      <c r="H16" s="5">
        <f t="shared" si="0"/>
        <v>65</v>
      </c>
      <c r="I16" s="5">
        <f t="shared" si="1"/>
        <v>3022500</v>
      </c>
      <c r="J16" s="5" t="str">
        <f t="shared" si="2"/>
        <v>Reorder Required</v>
      </c>
    </row>
    <row r="17" spans="1:10" x14ac:dyDescent="0.3">
      <c r="A17" s="5" t="s">
        <v>44</v>
      </c>
      <c r="B17" s="5" t="s">
        <v>45</v>
      </c>
      <c r="C17" s="5" t="s">
        <v>46</v>
      </c>
      <c r="D17" s="5">
        <v>70</v>
      </c>
      <c r="E17" s="5">
        <v>25</v>
      </c>
      <c r="F17" s="5">
        <v>23000</v>
      </c>
      <c r="G17" s="5">
        <v>18</v>
      </c>
      <c r="H17" s="5">
        <f t="shared" si="0"/>
        <v>45</v>
      </c>
      <c r="I17" s="5">
        <f t="shared" si="1"/>
        <v>1035000</v>
      </c>
      <c r="J17" s="5" t="str">
        <f t="shared" si="2"/>
        <v>Reorder Required</v>
      </c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5" thickBot="1" x14ac:dyDescent="0.35"/>
    <row r="20" spans="1:10" ht="16.2" thickBot="1" x14ac:dyDescent="0.35">
      <c r="B20" s="14" t="s">
        <v>47</v>
      </c>
      <c r="C20" s="15"/>
    </row>
    <row r="21" spans="1:10" x14ac:dyDescent="0.3">
      <c r="B21" s="16"/>
      <c r="C21" s="17"/>
    </row>
    <row r="22" spans="1:10" x14ac:dyDescent="0.3">
      <c r="B22" s="8" t="s">
        <v>48</v>
      </c>
      <c r="C22" s="9">
        <f>SUM(I3:I17)</f>
        <v>16687500</v>
      </c>
    </row>
    <row r="23" spans="1:10" x14ac:dyDescent="0.3">
      <c r="B23" s="8" t="s">
        <v>49</v>
      </c>
      <c r="C23" s="18">
        <f>AVERAGE(H3:H17)</f>
        <v>30.333333333333332</v>
      </c>
    </row>
    <row r="24" spans="1:10" ht="15" thickBot="1" x14ac:dyDescent="0.35">
      <c r="B24" s="10" t="s">
        <v>50</v>
      </c>
      <c r="C24" s="11">
        <f>COUNTIF(J3:J17,"reorder required")</f>
        <v>13</v>
      </c>
    </row>
    <row r="30" spans="1:10" ht="15" thickBot="1" x14ac:dyDescent="0.35"/>
    <row r="31" spans="1:10" ht="16.2" thickBot="1" x14ac:dyDescent="0.35">
      <c r="B31" s="12" t="s">
        <v>51</v>
      </c>
      <c r="C31" s="13"/>
    </row>
    <row r="32" spans="1:10" x14ac:dyDescent="0.3">
      <c r="B32" s="6"/>
      <c r="C32" s="7"/>
    </row>
    <row r="33" spans="2:3" x14ac:dyDescent="0.3">
      <c r="B33" s="5" t="s">
        <v>13</v>
      </c>
      <c r="C33" s="9">
        <f>SUMIF(C3:C17,"clothing",I3:I17)</f>
        <v>4080000</v>
      </c>
    </row>
    <row r="34" spans="2:3" x14ac:dyDescent="0.3">
      <c r="B34" s="5" t="s">
        <v>20</v>
      </c>
      <c r="C34" s="9">
        <f>SUMIF(C3:C17,"footwear",I3:I17)</f>
        <v>1400000</v>
      </c>
    </row>
    <row r="35" spans="2:3" x14ac:dyDescent="0.3">
      <c r="B35" s="5" t="s">
        <v>25</v>
      </c>
      <c r="C35" s="9">
        <f>SUMIF(C3:C17,"home appliances",I3:I17)</f>
        <v>2492500</v>
      </c>
    </row>
    <row r="36" spans="2:3" x14ac:dyDescent="0.3">
      <c r="B36" s="5" t="s">
        <v>34</v>
      </c>
      <c r="C36" s="9">
        <f>SUMIF(C3:C17,"electronics",I3:I17)</f>
        <v>3297500</v>
      </c>
    </row>
    <row r="37" spans="2:3" x14ac:dyDescent="0.3">
      <c r="B37" s="5" t="s">
        <v>41</v>
      </c>
      <c r="C37" s="9">
        <f>SUMIF(C3:C17,"furniture",I3:I17)</f>
        <v>4382500</v>
      </c>
    </row>
    <row r="38" spans="2:3" x14ac:dyDescent="0.3">
      <c r="B38" s="5" t="s">
        <v>46</v>
      </c>
      <c r="C38" s="9">
        <f>SUMIF(C3:C17,"accessories",I3:I17)</f>
        <v>1035000</v>
      </c>
    </row>
    <row r="39" spans="2:3" ht="15" thickBot="1" x14ac:dyDescent="0.35">
      <c r="B39" s="10"/>
      <c r="C39" s="11"/>
    </row>
  </sheetData>
  <mergeCells count="5">
    <mergeCell ref="B32:C32"/>
    <mergeCell ref="A1:J1"/>
    <mergeCell ref="B21:C21"/>
    <mergeCell ref="B20:C20"/>
    <mergeCell ref="B31:C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Yadav</dc:creator>
  <cp:lastModifiedBy>Hitesh Yadav</cp:lastModifiedBy>
  <dcterms:created xsi:type="dcterms:W3CDTF">2026-02-18T06:14:09Z</dcterms:created>
  <dcterms:modified xsi:type="dcterms:W3CDTF">2026-02-18T06:48:59Z</dcterms:modified>
</cp:coreProperties>
</file>