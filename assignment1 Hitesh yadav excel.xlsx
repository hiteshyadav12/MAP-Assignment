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13_ncr:1_{5669E47A-DBEB-4FA7-88CF-88589EDB125D}" xr6:coauthVersionLast="47" xr6:coauthVersionMax="47" xr10:uidLastSave="{00000000-0000-0000-0000-000000000000}"/>
  <bookViews>
    <workbookView xWindow="-108" yWindow="-108" windowWidth="23256" windowHeight="12456" xr2:uid="{935464D7-05AA-40B5-8157-690356F380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6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7" i="1"/>
  <c r="H29" i="1"/>
  <c r="F7" i="1"/>
  <c r="F8" i="1"/>
  <c r="F9" i="1"/>
  <c r="F10" i="1"/>
  <c r="F11" i="1"/>
  <c r="F12" i="1"/>
  <c r="F13" i="1"/>
  <c r="F14" i="1"/>
  <c r="F15" i="1"/>
  <c r="F16" i="1"/>
  <c r="F17" i="1"/>
  <c r="F18" i="1"/>
  <c r="F28" i="1" s="1"/>
  <c r="F19" i="1"/>
  <c r="F26" i="1" s="1"/>
  <c r="F20" i="1"/>
  <c r="F6" i="1"/>
  <c r="F29" i="1" s="1"/>
  <c r="R13" i="1"/>
  <c r="Q13" i="1"/>
  <c r="P13" i="1"/>
  <c r="O13" i="1"/>
  <c r="H26" i="1" l="1"/>
  <c r="H28" i="1"/>
  <c r="H27" i="1"/>
  <c r="F27" i="1"/>
</calcChain>
</file>

<file path=xl/sharedStrings.xml><?xml version="1.0" encoding="utf-8"?>
<sst xmlns="http://schemas.openxmlformats.org/spreadsheetml/2006/main" count="79" uniqueCount="34">
  <si>
    <t xml:space="preserve">Retail Sales And Performance </t>
  </si>
  <si>
    <t>Sr.no</t>
  </si>
  <si>
    <t xml:space="preserve">Name </t>
  </si>
  <si>
    <t xml:space="preserve">Unit Price </t>
  </si>
  <si>
    <t>Unit Quantity</t>
  </si>
  <si>
    <t xml:space="preserve">Gross Sale </t>
  </si>
  <si>
    <t xml:space="preserve">Discount </t>
  </si>
  <si>
    <t xml:space="preserve">Dis Amount </t>
  </si>
  <si>
    <t>Tax</t>
  </si>
  <si>
    <t xml:space="preserve">Net Sale </t>
  </si>
  <si>
    <t>Performance</t>
  </si>
  <si>
    <t>Region</t>
  </si>
  <si>
    <t>Electronic</t>
  </si>
  <si>
    <t xml:space="preserve">North </t>
  </si>
  <si>
    <t>Apparel</t>
  </si>
  <si>
    <t>East</t>
  </si>
  <si>
    <t>Home Décor</t>
  </si>
  <si>
    <t xml:space="preserve">West </t>
  </si>
  <si>
    <t>South</t>
  </si>
  <si>
    <t>Row Labels</t>
  </si>
  <si>
    <t>Sum of Unit Price</t>
  </si>
  <si>
    <t>Sum of Unit Quantity</t>
  </si>
  <si>
    <t>Sum of Gross Sale</t>
  </si>
  <si>
    <t>Sum of Net Sale</t>
  </si>
  <si>
    <t>North</t>
  </si>
  <si>
    <t>West</t>
  </si>
  <si>
    <t>Grand Total</t>
  </si>
  <si>
    <t>Statistical &amp; Logical Function</t>
  </si>
  <si>
    <t>Sum()</t>
  </si>
  <si>
    <t>Count()</t>
  </si>
  <si>
    <t>Average()</t>
  </si>
  <si>
    <t>Max()</t>
  </si>
  <si>
    <t xml:space="preserve">Sum of Net Sale 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</si>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</sst>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 indent="1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0" xfId="0" applyFill="1"/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5" borderId="1" xfId="0" applyFill="1" applyBorder="1" applyAlignment="1">
      <alignment horizontal="left" indent="1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9" fontId="0" fillId="15" borderId="1" xfId="0" applyNumberFormat="1" applyFill="1" applyBorder="1" applyAlignment="1">
      <alignment horizontal="center"/>
    </xf>
    <xf numFmtId="0" fontId="2" fillId="14" borderId="5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alignment horizontal="left" vertical="bottom" textRotation="0" wrapText="0" indent="1" justifyLastLine="0" shrinkToFit="0" readingOrder="0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78F-4CC5-BE47-535C87E57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78F-4CC5-BE47-535C87E57E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78F-4CC5-BE47-535C87E57E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378F-4CC5-BE47-535C87E57E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78F-4CC5-BE47-535C87E57E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378F-4CC5-BE47-535C87E57E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78F-4CC5-BE47-535C87E57E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78F-4CC5-BE47-535C87E57E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78F-4CC5-BE47-535C87E57E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78F-4CC5-BE47-535C87E57E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78F-4CC5-BE47-535C87E57E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78F-4CC5-BE47-535C87E57E8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78F-4CC5-BE47-535C87E57E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78F-4CC5-BE47-535C87E57E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78F-4CC5-BE47-535C87E57E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78F-4CC5-BE47-535C87E57E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78F-4CC5-BE47-535C87E57E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78F-4CC5-BE47-535C87E57E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378F-4CC5-BE47-535C87E57E8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78F-4CC5-BE47-535C87E57E8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378F-4CC5-BE47-535C87E57E8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78F-4CC5-BE47-535C87E57E8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378F-4CC5-BE47-535C87E57E8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78F-4CC5-BE47-535C87E57E8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378F-4CC5-BE47-535C87E57E8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78F-4CC5-BE47-535C87E57E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Sheet1!$O$33:$O$45</c:f>
              <c:strCache>
                <c:ptCount val="13"/>
                <c:pt idx="0">
                  <c:v>East</c:v>
                </c:pt>
                <c:pt idx="1">
                  <c:v>Apparel</c:v>
                </c:pt>
                <c:pt idx="2">
                  <c:v>Electronic</c:v>
                </c:pt>
                <c:pt idx="3">
                  <c:v>North </c:v>
                </c:pt>
                <c:pt idx="4">
                  <c:v>Electronic</c:v>
                </c:pt>
                <c:pt idx="5">
                  <c:v>Home Décor</c:v>
                </c:pt>
                <c:pt idx="6">
                  <c:v>South</c:v>
                </c:pt>
                <c:pt idx="7">
                  <c:v>Apparel</c:v>
                </c:pt>
                <c:pt idx="8">
                  <c:v>West </c:v>
                </c:pt>
                <c:pt idx="9">
                  <c:v>Electronic</c:v>
                </c:pt>
                <c:pt idx="10">
                  <c:v>Home Décor</c:v>
                </c:pt>
                <c:pt idx="11">
                  <c:v>(blank)</c:v>
                </c:pt>
                <c:pt idx="12">
                  <c:v>(blank)</c:v>
                </c:pt>
              </c:strCache>
            </c:strRef>
          </c:cat>
          <c:val>
            <c:numRef>
              <c:f>Sheet1!$P$33:$P$45</c:f>
              <c:numCache>
                <c:formatCode>General</c:formatCode>
                <c:ptCount val="13"/>
                <c:pt idx="1">
                  <c:v>2832</c:v>
                </c:pt>
                <c:pt idx="2">
                  <c:v>11707.96</c:v>
                </c:pt>
                <c:pt idx="4">
                  <c:v>9587.5</c:v>
                </c:pt>
                <c:pt idx="5">
                  <c:v>15841.5</c:v>
                </c:pt>
                <c:pt idx="7">
                  <c:v>19326.04</c:v>
                </c:pt>
                <c:pt idx="9">
                  <c:v>13848.48</c:v>
                </c:pt>
                <c:pt idx="10">
                  <c:v>20915.5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F-4CC5-BE47-535C87E57E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31</xdr:row>
      <xdr:rowOff>133350</xdr:rowOff>
    </xdr:from>
    <xdr:to>
      <xdr:col>13</xdr:col>
      <xdr:colOff>312420</xdr:colOff>
      <xdr:row>50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9DFD4-CE27-54C5-3679-1D8A534CD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AFB37-08E0-45D6-A70B-4F4EED6BBFC4}" name="Table1" displayName="Table1" ref="N2:R13" totalsRowShown="0" headerRowDxfId="6" dataDxfId="5">
  <autoFilter ref="N2:R13" xr:uid="{FA8AFB37-08E0-45D6-A70B-4F4EED6BBFC4}"/>
  <tableColumns count="5">
    <tableColumn id="1" xr3:uid="{A2DB4EEF-8475-4FDA-8C0F-251FAA5BC401}" name="Row Labels" dataDxfId="4"/>
    <tableColumn id="2" xr3:uid="{6CDB3061-6FDF-4C4C-AC37-16ED8C9F9FC1}" name="Sum of Unit Price" dataDxfId="3"/>
    <tableColumn id="3" xr3:uid="{2E68265F-56C5-42B3-8061-48164DBBF7A0}" name="Sum of Unit Quantity" dataDxfId="2"/>
    <tableColumn id="4" xr3:uid="{4C559E9F-244A-441F-8290-E8A6F2BD4661}" name="Sum of Gross Sale" dataDxfId="1"/>
    <tableColumn id="5" xr3:uid="{20FD27AF-68C4-4D49-B60C-FF42A39E4AF8}" name="Sum of Net Sal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3444-D62E-4161-A0D9-C717FE1D8508}">
  <dimension ref="B2:R46"/>
  <sheetViews>
    <sheetView tabSelected="1" workbookViewId="0">
      <selection activeCell="K27" sqref="K27"/>
    </sheetView>
  </sheetViews>
  <sheetFormatPr defaultRowHeight="14.4" x14ac:dyDescent="0.3"/>
  <cols>
    <col min="3" max="3" width="11.44140625" customWidth="1"/>
    <col min="5" max="5" width="11.109375" customWidth="1"/>
    <col min="8" max="8" width="10.6640625" customWidth="1"/>
    <col min="11" max="11" width="11.33203125" customWidth="1"/>
    <col min="14" max="14" width="12.109375" customWidth="1"/>
    <col min="15" max="15" width="16.44140625" customWidth="1"/>
    <col min="16" max="16" width="18.88671875" customWidth="1"/>
    <col min="17" max="17" width="17.21875" customWidth="1"/>
    <col min="18" max="18" width="15.33203125" customWidth="1"/>
  </cols>
  <sheetData>
    <row r="2" spans="2:18" x14ac:dyDescent="0.3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2"/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2:18" x14ac:dyDescent="0.3">
      <c r="B3" s="33"/>
      <c r="C3" s="34"/>
      <c r="D3" s="34"/>
      <c r="E3" s="34"/>
      <c r="F3" s="34"/>
      <c r="G3" s="34"/>
      <c r="H3" s="34"/>
      <c r="I3" s="34"/>
      <c r="J3" s="34"/>
      <c r="K3" s="34"/>
      <c r="L3" s="35"/>
      <c r="N3" s="6" t="s">
        <v>14</v>
      </c>
      <c r="O3" s="7"/>
      <c r="P3" s="7"/>
      <c r="Q3" s="7"/>
      <c r="R3" s="7"/>
    </row>
    <row r="4" spans="2:18" x14ac:dyDescent="0.3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N4" s="5" t="s">
        <v>15</v>
      </c>
      <c r="O4" s="4">
        <v>160</v>
      </c>
      <c r="P4" s="4">
        <v>15</v>
      </c>
      <c r="Q4" s="4">
        <v>2400</v>
      </c>
      <c r="R4" s="4">
        <v>2832</v>
      </c>
    </row>
    <row r="5" spans="2:18" x14ac:dyDescent="0.3">
      <c r="B5" s="18"/>
      <c r="C5" s="10"/>
      <c r="D5" s="8"/>
      <c r="E5" s="3"/>
      <c r="F5" s="9"/>
      <c r="G5" s="10"/>
      <c r="H5" s="19"/>
      <c r="I5" s="1"/>
      <c r="J5" s="15"/>
      <c r="K5" s="2"/>
      <c r="L5" s="16"/>
      <c r="N5" s="5" t="s">
        <v>18</v>
      </c>
      <c r="O5" s="4">
        <v>898</v>
      </c>
      <c r="P5" s="4">
        <v>76</v>
      </c>
      <c r="Q5" s="4">
        <v>16378</v>
      </c>
      <c r="R5" s="4">
        <v>19326.04</v>
      </c>
    </row>
    <row r="6" spans="2:18" x14ac:dyDescent="0.3">
      <c r="B6" s="18">
        <v>1</v>
      </c>
      <c r="C6" s="10" t="s">
        <v>12</v>
      </c>
      <c r="D6" s="8">
        <v>250</v>
      </c>
      <c r="E6" s="3">
        <v>25</v>
      </c>
      <c r="F6" s="9">
        <f>PRODUCT(D6:E6)</f>
        <v>6250</v>
      </c>
      <c r="G6" s="11">
        <v>0.1</v>
      </c>
      <c r="H6" s="29">
        <f>6250*(1-G6)</f>
        <v>5625</v>
      </c>
      <c r="I6" s="14">
        <v>0.18</v>
      </c>
      <c r="J6" s="15">
        <f>F6+(F6*I6)</f>
        <v>7375</v>
      </c>
      <c r="K6" s="2" t="str">
        <f>IF(J6&gt;=5000,"High Value","Stadard")</f>
        <v>High Value</v>
      </c>
      <c r="L6" s="16" t="s">
        <v>13</v>
      </c>
      <c r="N6" s="6" t="s">
        <v>12</v>
      </c>
      <c r="O6" s="7"/>
      <c r="P6" s="7"/>
      <c r="Q6" s="7"/>
      <c r="R6" s="7"/>
    </row>
    <row r="7" spans="2:18" x14ac:dyDescent="0.3">
      <c r="B7" s="18">
        <v>2</v>
      </c>
      <c r="C7" s="10" t="s">
        <v>14</v>
      </c>
      <c r="D7" s="8">
        <v>160</v>
      </c>
      <c r="E7" s="3">
        <v>15</v>
      </c>
      <c r="F7" s="9">
        <f t="shared" ref="F7:F20" si="0">PRODUCT(D7:E7)</f>
        <v>2400</v>
      </c>
      <c r="G7" s="11">
        <v>0.15</v>
      </c>
      <c r="H7" s="19">
        <f>F7*(1-G7)</f>
        <v>2040</v>
      </c>
      <c r="I7" s="14">
        <v>0.18</v>
      </c>
      <c r="J7" s="15">
        <f t="shared" ref="J7:J20" si="1">F7+(F7*I7)</f>
        <v>2832</v>
      </c>
      <c r="K7" s="2" t="str">
        <f t="shared" ref="K7:K20" si="2">IF(J7&gt;=5000,"High Value","Standard")</f>
        <v>Standard</v>
      </c>
      <c r="L7" s="16" t="s">
        <v>15</v>
      </c>
      <c r="N7" s="5" t="s">
        <v>15</v>
      </c>
      <c r="O7" s="4">
        <v>429</v>
      </c>
      <c r="P7" s="4">
        <v>45</v>
      </c>
      <c r="Q7" s="4">
        <v>9922</v>
      </c>
      <c r="R7" s="4">
        <v>11707.96</v>
      </c>
    </row>
    <row r="8" spans="2:18" x14ac:dyDescent="0.3">
      <c r="B8" s="18">
        <v>3</v>
      </c>
      <c r="C8" s="10" t="s">
        <v>16</v>
      </c>
      <c r="D8" s="8">
        <v>400</v>
      </c>
      <c r="E8" s="3">
        <v>13</v>
      </c>
      <c r="F8" s="9">
        <f t="shared" si="0"/>
        <v>5200</v>
      </c>
      <c r="G8" s="12">
        <v>0.125</v>
      </c>
      <c r="H8" s="19">
        <f t="shared" ref="H8:H20" si="3">F8*(1-G8)</f>
        <v>4550</v>
      </c>
      <c r="I8" s="14">
        <v>0.18</v>
      </c>
      <c r="J8" s="15">
        <f t="shared" si="1"/>
        <v>6136</v>
      </c>
      <c r="K8" s="2" t="str">
        <f t="shared" si="2"/>
        <v>High Value</v>
      </c>
      <c r="L8" s="16" t="s">
        <v>17</v>
      </c>
      <c r="N8" s="5" t="s">
        <v>24</v>
      </c>
      <c r="O8" s="4">
        <v>375</v>
      </c>
      <c r="P8" s="4">
        <v>40</v>
      </c>
      <c r="Q8" s="4">
        <v>8125</v>
      </c>
      <c r="R8" s="4">
        <v>9587.5</v>
      </c>
    </row>
    <row r="9" spans="2:18" x14ac:dyDescent="0.3">
      <c r="B9" s="18">
        <v>4</v>
      </c>
      <c r="C9" s="10" t="s">
        <v>14</v>
      </c>
      <c r="D9" s="8">
        <v>480</v>
      </c>
      <c r="E9" s="3">
        <v>17</v>
      </c>
      <c r="F9" s="9">
        <f t="shared" si="0"/>
        <v>8160</v>
      </c>
      <c r="G9" s="11">
        <v>0.08</v>
      </c>
      <c r="H9" s="19">
        <f t="shared" si="3"/>
        <v>7507.2000000000007</v>
      </c>
      <c r="I9" s="14">
        <v>0.18</v>
      </c>
      <c r="J9" s="15">
        <f t="shared" si="1"/>
        <v>9628.7999999999993</v>
      </c>
      <c r="K9" s="2" t="str">
        <f t="shared" si="2"/>
        <v>High Value</v>
      </c>
      <c r="L9" s="16" t="s">
        <v>18</v>
      </c>
      <c r="N9" s="5" t="s">
        <v>25</v>
      </c>
      <c r="O9" s="4">
        <v>489</v>
      </c>
      <c r="P9" s="4">
        <v>24</v>
      </c>
      <c r="Q9" s="4">
        <v>11736</v>
      </c>
      <c r="R9" s="4">
        <v>13848.48</v>
      </c>
    </row>
    <row r="10" spans="2:18" x14ac:dyDescent="0.3">
      <c r="B10" s="18">
        <v>5</v>
      </c>
      <c r="C10" s="10" t="s">
        <v>16</v>
      </c>
      <c r="D10" s="8">
        <v>300</v>
      </c>
      <c r="E10" s="3">
        <v>28</v>
      </c>
      <c r="F10" s="9">
        <f t="shared" si="0"/>
        <v>8400</v>
      </c>
      <c r="G10" s="11">
        <v>0.12</v>
      </c>
      <c r="H10" s="19">
        <f t="shared" si="3"/>
        <v>7392</v>
      </c>
      <c r="I10" s="14">
        <v>0.18</v>
      </c>
      <c r="J10" s="15">
        <f t="shared" si="1"/>
        <v>9912</v>
      </c>
      <c r="K10" s="2" t="str">
        <f t="shared" si="2"/>
        <v>High Value</v>
      </c>
      <c r="L10" s="16" t="s">
        <v>13</v>
      </c>
      <c r="N10" s="6" t="s">
        <v>16</v>
      </c>
      <c r="O10" s="7"/>
      <c r="P10" s="7"/>
      <c r="Q10" s="7"/>
      <c r="R10" s="7"/>
    </row>
    <row r="11" spans="2:18" x14ac:dyDescent="0.3">
      <c r="B11" s="18">
        <v>6</v>
      </c>
      <c r="C11" s="10" t="s">
        <v>12</v>
      </c>
      <c r="D11" s="8">
        <v>176</v>
      </c>
      <c r="E11" s="3">
        <v>19</v>
      </c>
      <c r="F11" s="9">
        <f t="shared" si="0"/>
        <v>3344</v>
      </c>
      <c r="G11" s="11">
        <v>0.18</v>
      </c>
      <c r="H11" s="19">
        <f t="shared" si="3"/>
        <v>2742.0800000000004</v>
      </c>
      <c r="I11" s="14">
        <v>0.18</v>
      </c>
      <c r="J11" s="15">
        <f t="shared" si="1"/>
        <v>3945.92</v>
      </c>
      <c r="K11" s="2" t="str">
        <f t="shared" si="2"/>
        <v>Standard</v>
      </c>
      <c r="L11" s="16" t="s">
        <v>15</v>
      </c>
      <c r="N11" s="5" t="s">
        <v>24</v>
      </c>
      <c r="O11" s="4">
        <v>635</v>
      </c>
      <c r="P11" s="4">
        <v>43</v>
      </c>
      <c r="Q11" s="4">
        <v>13425</v>
      </c>
      <c r="R11" s="4">
        <v>15841.5</v>
      </c>
    </row>
    <row r="12" spans="2:18" x14ac:dyDescent="0.3">
      <c r="B12" s="18">
        <v>7</v>
      </c>
      <c r="C12" s="10" t="s">
        <v>14</v>
      </c>
      <c r="D12" s="8">
        <v>120</v>
      </c>
      <c r="E12" s="3">
        <v>22</v>
      </c>
      <c r="F12" s="9">
        <f t="shared" si="0"/>
        <v>2640</v>
      </c>
      <c r="G12" s="11">
        <v>0.16</v>
      </c>
      <c r="H12" s="19">
        <f t="shared" si="3"/>
        <v>2217.6</v>
      </c>
      <c r="I12" s="14">
        <v>0.18</v>
      </c>
      <c r="J12" s="15">
        <f t="shared" si="1"/>
        <v>3115.2</v>
      </c>
      <c r="K12" s="2" t="str">
        <f>IF(J12&gt;=5000,"High Value","Standard")</f>
        <v>Standard</v>
      </c>
      <c r="L12" s="16" t="s">
        <v>18</v>
      </c>
      <c r="N12" s="5" t="s">
        <v>25</v>
      </c>
      <c r="O12" s="4">
        <v>1195</v>
      </c>
      <c r="P12" s="4">
        <v>44</v>
      </c>
      <c r="Q12" s="4">
        <v>17725</v>
      </c>
      <c r="R12" s="4">
        <v>20915.5</v>
      </c>
    </row>
    <row r="13" spans="2:18" x14ac:dyDescent="0.3">
      <c r="B13" s="18">
        <v>8</v>
      </c>
      <c r="C13" s="10" t="s">
        <v>16</v>
      </c>
      <c r="D13" s="8">
        <v>330</v>
      </c>
      <c r="E13" s="3">
        <v>14</v>
      </c>
      <c r="F13" s="9">
        <f t="shared" si="0"/>
        <v>4620</v>
      </c>
      <c r="G13" s="11">
        <v>0.14000000000000001</v>
      </c>
      <c r="H13" s="19">
        <f t="shared" si="3"/>
        <v>3973.2</v>
      </c>
      <c r="I13" s="14">
        <v>0.18</v>
      </c>
      <c r="J13" s="15">
        <f t="shared" si="1"/>
        <v>5451.6</v>
      </c>
      <c r="K13" s="2" t="str">
        <f t="shared" si="2"/>
        <v>High Value</v>
      </c>
      <c r="L13" s="16" t="s">
        <v>17</v>
      </c>
      <c r="N13" s="6" t="s">
        <v>26</v>
      </c>
      <c r="O13" s="7">
        <f>SUM(O4:O12)</f>
        <v>4181</v>
      </c>
      <c r="P13" s="7">
        <f>SUM(P4:P12)</f>
        <v>287</v>
      </c>
      <c r="Q13" s="7">
        <f>SUM(Q4:Q12)</f>
        <v>79711</v>
      </c>
      <c r="R13" s="7">
        <f>SUM(R4:R12)</f>
        <v>94058.98</v>
      </c>
    </row>
    <row r="14" spans="2:18" x14ac:dyDescent="0.3">
      <c r="B14" s="18">
        <v>9</v>
      </c>
      <c r="C14" s="10" t="s">
        <v>12</v>
      </c>
      <c r="D14" s="8">
        <v>125</v>
      </c>
      <c r="E14" s="3">
        <v>15</v>
      </c>
      <c r="F14" s="9">
        <f t="shared" si="0"/>
        <v>1875</v>
      </c>
      <c r="G14" s="11">
        <v>0.19</v>
      </c>
      <c r="H14" s="19">
        <f t="shared" si="3"/>
        <v>1518.75</v>
      </c>
      <c r="I14" s="14">
        <v>0.18</v>
      </c>
      <c r="J14" s="15">
        <f t="shared" si="1"/>
        <v>2212.5</v>
      </c>
      <c r="K14" s="2" t="str">
        <f t="shared" si="2"/>
        <v>Standard</v>
      </c>
      <c r="L14" s="16" t="s">
        <v>13</v>
      </c>
    </row>
    <row r="15" spans="2:18" x14ac:dyDescent="0.3">
      <c r="B15" s="18">
        <v>10</v>
      </c>
      <c r="C15" s="10" t="s">
        <v>16</v>
      </c>
      <c r="D15" s="8">
        <v>335</v>
      </c>
      <c r="E15" s="3">
        <v>15</v>
      </c>
      <c r="F15" s="9">
        <f t="shared" si="0"/>
        <v>5025</v>
      </c>
      <c r="G15" s="11">
        <v>0.1</v>
      </c>
      <c r="H15" s="19">
        <f t="shared" si="3"/>
        <v>4522.5</v>
      </c>
      <c r="I15" s="14">
        <v>0.18</v>
      </c>
      <c r="J15" s="15">
        <f t="shared" si="1"/>
        <v>5929.5</v>
      </c>
      <c r="K15" s="2" t="str">
        <f t="shared" si="2"/>
        <v>High Value</v>
      </c>
      <c r="L15" s="16" t="s">
        <v>13</v>
      </c>
    </row>
    <row r="16" spans="2:18" x14ac:dyDescent="0.3">
      <c r="B16" s="18">
        <v>11</v>
      </c>
      <c r="C16" s="10" t="s">
        <v>16</v>
      </c>
      <c r="D16" s="8">
        <v>465</v>
      </c>
      <c r="E16" s="3">
        <v>17</v>
      </c>
      <c r="F16" s="9">
        <f t="shared" si="0"/>
        <v>7905</v>
      </c>
      <c r="G16" s="11">
        <v>0.08</v>
      </c>
      <c r="H16" s="19">
        <f t="shared" si="3"/>
        <v>7272.6</v>
      </c>
      <c r="I16" s="14">
        <v>0.18</v>
      </c>
      <c r="J16" s="15">
        <f t="shared" si="1"/>
        <v>9327.9</v>
      </c>
      <c r="K16" s="2" t="str">
        <f t="shared" si="2"/>
        <v>High Value</v>
      </c>
      <c r="L16" s="16" t="s">
        <v>17</v>
      </c>
    </row>
    <row r="17" spans="2:16" x14ac:dyDescent="0.3">
      <c r="B17" s="18">
        <v>12</v>
      </c>
      <c r="C17" s="10" t="s">
        <v>14</v>
      </c>
      <c r="D17" s="8">
        <v>154</v>
      </c>
      <c r="E17" s="3">
        <v>25</v>
      </c>
      <c r="F17" s="9">
        <f t="shared" si="0"/>
        <v>3850</v>
      </c>
      <c r="G17" s="11">
        <v>0.09</v>
      </c>
      <c r="H17" s="19">
        <f t="shared" si="3"/>
        <v>3503.5</v>
      </c>
      <c r="I17" s="14">
        <v>0.18</v>
      </c>
      <c r="J17" s="15">
        <f t="shared" si="1"/>
        <v>4543</v>
      </c>
      <c r="K17" s="2" t="str">
        <f t="shared" si="2"/>
        <v>Standard</v>
      </c>
      <c r="L17" s="16" t="s">
        <v>18</v>
      </c>
    </row>
    <row r="18" spans="2:16" x14ac:dyDescent="0.3">
      <c r="B18" s="18">
        <v>13</v>
      </c>
      <c r="C18" s="10" t="s">
        <v>12</v>
      </c>
      <c r="D18" s="8">
        <v>253</v>
      </c>
      <c r="E18" s="3">
        <v>26</v>
      </c>
      <c r="F18" s="9">
        <f t="shared" si="0"/>
        <v>6578</v>
      </c>
      <c r="G18" s="11">
        <v>0.05</v>
      </c>
      <c r="H18" s="19">
        <f t="shared" si="3"/>
        <v>6249.0999999999995</v>
      </c>
      <c r="I18" s="14">
        <v>0.18</v>
      </c>
      <c r="J18" s="15">
        <f t="shared" si="1"/>
        <v>7762.04</v>
      </c>
      <c r="K18" s="2" t="str">
        <f t="shared" si="2"/>
        <v>High Value</v>
      </c>
      <c r="L18" s="16" t="s">
        <v>15</v>
      </c>
    </row>
    <row r="19" spans="2:16" x14ac:dyDescent="0.3">
      <c r="B19" s="18">
        <v>14</v>
      </c>
      <c r="C19" s="10" t="s">
        <v>12</v>
      </c>
      <c r="D19" s="8">
        <v>489</v>
      </c>
      <c r="E19" s="3">
        <v>24</v>
      </c>
      <c r="F19" s="9">
        <f t="shared" si="0"/>
        <v>11736</v>
      </c>
      <c r="G19" s="11">
        <v>0.14000000000000001</v>
      </c>
      <c r="H19" s="19">
        <f t="shared" si="3"/>
        <v>10092.959999999999</v>
      </c>
      <c r="I19" s="14">
        <v>0.18</v>
      </c>
      <c r="J19" s="15">
        <f t="shared" si="1"/>
        <v>13848.48</v>
      </c>
      <c r="K19" s="2" t="str">
        <f t="shared" si="2"/>
        <v>High Value</v>
      </c>
      <c r="L19" s="16" t="s">
        <v>17</v>
      </c>
    </row>
    <row r="20" spans="2:16" x14ac:dyDescent="0.3">
      <c r="B20" s="18">
        <v>15</v>
      </c>
      <c r="C20" s="10" t="s">
        <v>14</v>
      </c>
      <c r="D20" s="8">
        <v>144</v>
      </c>
      <c r="E20" s="3">
        <v>12</v>
      </c>
      <c r="F20" s="9">
        <f t="shared" si="0"/>
        <v>1728</v>
      </c>
      <c r="G20" s="11">
        <v>0.19</v>
      </c>
      <c r="H20" s="19">
        <f t="shared" si="3"/>
        <v>1399.68</v>
      </c>
      <c r="I20" s="14">
        <v>0.18</v>
      </c>
      <c r="J20" s="15">
        <f t="shared" si="1"/>
        <v>2039.04</v>
      </c>
      <c r="K20" s="2" t="str">
        <f t="shared" si="2"/>
        <v>Standard</v>
      </c>
      <c r="L20" s="16" t="s">
        <v>18</v>
      </c>
    </row>
    <row r="21" spans="2:16" x14ac:dyDescent="0.3">
      <c r="B21" s="18"/>
      <c r="C21" s="10"/>
      <c r="D21" s="8"/>
      <c r="E21" s="3"/>
      <c r="F21" s="9"/>
      <c r="G21" s="10"/>
      <c r="H21" s="19"/>
      <c r="I21" s="1"/>
      <c r="J21" s="15"/>
      <c r="K21" s="2"/>
      <c r="L21" s="17"/>
    </row>
    <row r="23" spans="2:16" x14ac:dyDescent="0.3">
      <c r="B23" s="36" t="s">
        <v>27</v>
      </c>
      <c r="C23" s="37"/>
      <c r="D23" s="37"/>
      <c r="E23" s="37"/>
      <c r="F23" s="37"/>
      <c r="G23" s="37"/>
      <c r="H23" s="37"/>
      <c r="I23" s="37"/>
    </row>
    <row r="24" spans="2:16" x14ac:dyDescent="0.3">
      <c r="B24" s="37"/>
      <c r="C24" s="37"/>
      <c r="D24" s="37"/>
      <c r="E24" s="37"/>
      <c r="F24" s="37"/>
      <c r="G24" s="37"/>
      <c r="H24" s="37"/>
      <c r="I24" s="37"/>
    </row>
    <row r="25" spans="2:16" x14ac:dyDescent="0.3">
      <c r="B25" s="20"/>
      <c r="C25" s="20"/>
      <c r="D25" s="20"/>
      <c r="E25" s="20"/>
      <c r="F25" s="20"/>
      <c r="G25" s="20"/>
      <c r="H25" s="20"/>
      <c r="I25" s="20"/>
    </row>
    <row r="26" spans="2:16" x14ac:dyDescent="0.3">
      <c r="B26" s="20">
        <v>1</v>
      </c>
      <c r="C26" s="20" t="s">
        <v>28</v>
      </c>
      <c r="D26" s="20"/>
      <c r="E26" s="20"/>
      <c r="F26" s="20">
        <f>SUM(F6:F20)</f>
        <v>79711</v>
      </c>
      <c r="G26" s="20"/>
      <c r="H26" s="20">
        <f>SUM(H6:H20)</f>
        <v>70606.169999999984</v>
      </c>
      <c r="I26" s="20"/>
    </row>
    <row r="27" spans="2:16" x14ac:dyDescent="0.3">
      <c r="B27" s="20">
        <v>2</v>
      </c>
      <c r="C27" s="20" t="s">
        <v>29</v>
      </c>
      <c r="D27" s="20"/>
      <c r="E27" s="20"/>
      <c r="F27" s="20">
        <f>COUNT(F6:F20)</f>
        <v>15</v>
      </c>
      <c r="G27" s="20"/>
      <c r="H27" s="20">
        <f>COUNT(H6:H20)</f>
        <v>15</v>
      </c>
      <c r="I27" s="20"/>
    </row>
    <row r="28" spans="2:16" x14ac:dyDescent="0.3">
      <c r="B28" s="20">
        <v>3</v>
      </c>
      <c r="C28" s="20" t="s">
        <v>30</v>
      </c>
      <c r="D28" s="20"/>
      <c r="E28" s="20"/>
      <c r="F28" s="20">
        <f>AVERAGE(F6:F20)</f>
        <v>5314.0666666666666</v>
      </c>
      <c r="G28" s="20"/>
      <c r="H28" s="20">
        <f>AVERAGE(H6:H20)</f>
        <v>4707.0779999999986</v>
      </c>
      <c r="I28" s="20"/>
    </row>
    <row r="29" spans="2:16" x14ac:dyDescent="0.3">
      <c r="B29" s="20">
        <v>4</v>
      </c>
      <c r="C29" s="20" t="s">
        <v>31</v>
      </c>
      <c r="D29" s="20"/>
      <c r="E29" s="20"/>
      <c r="F29" s="20">
        <f>MAX(F6:F20)</f>
        <v>11736</v>
      </c>
      <c r="G29" s="20"/>
      <c r="H29" s="20">
        <f>MAX(H6:H20)</f>
        <v>10092.959999999999</v>
      </c>
      <c r="I29" s="20"/>
    </row>
    <row r="32" spans="2:16" x14ac:dyDescent="0.3">
      <c r="O32" s="21" t="s">
        <v>19</v>
      </c>
      <c r="P32" s="21" t="s">
        <v>32</v>
      </c>
    </row>
    <row r="33" spans="15:16" x14ac:dyDescent="0.3">
      <c r="O33" s="22" t="s">
        <v>15</v>
      </c>
      <c r="P33" s="23"/>
    </row>
    <row r="34" spans="15:16" x14ac:dyDescent="0.3">
      <c r="O34" s="24" t="s">
        <v>14</v>
      </c>
      <c r="P34" s="25">
        <v>2832</v>
      </c>
    </row>
    <row r="35" spans="15:16" x14ac:dyDescent="0.3">
      <c r="O35" s="24" t="s">
        <v>12</v>
      </c>
      <c r="P35" s="25">
        <v>11707.96</v>
      </c>
    </row>
    <row r="36" spans="15:16" x14ac:dyDescent="0.3">
      <c r="O36" s="22" t="s">
        <v>13</v>
      </c>
      <c r="P36" s="23"/>
    </row>
    <row r="37" spans="15:16" x14ac:dyDescent="0.3">
      <c r="O37" s="24" t="s">
        <v>12</v>
      </c>
      <c r="P37" s="25">
        <v>9587.5</v>
      </c>
    </row>
    <row r="38" spans="15:16" x14ac:dyDescent="0.3">
      <c r="O38" s="24" t="s">
        <v>16</v>
      </c>
      <c r="P38" s="25">
        <v>15841.5</v>
      </c>
    </row>
    <row r="39" spans="15:16" x14ac:dyDescent="0.3">
      <c r="O39" s="22" t="s">
        <v>18</v>
      </c>
      <c r="P39" s="23"/>
    </row>
    <row r="40" spans="15:16" x14ac:dyDescent="0.3">
      <c r="O40" s="24" t="s">
        <v>14</v>
      </c>
      <c r="P40" s="25">
        <v>19326.04</v>
      </c>
    </row>
    <row r="41" spans="15:16" x14ac:dyDescent="0.3">
      <c r="O41" s="22" t="s">
        <v>17</v>
      </c>
      <c r="P41" s="23"/>
    </row>
    <row r="42" spans="15:16" x14ac:dyDescent="0.3">
      <c r="O42" s="24" t="s">
        <v>12</v>
      </c>
      <c r="P42" s="25">
        <v>13848.48</v>
      </c>
    </row>
    <row r="43" spans="15:16" x14ac:dyDescent="0.3">
      <c r="O43" s="24" t="s">
        <v>16</v>
      </c>
      <c r="P43" s="25">
        <v>20915.5</v>
      </c>
    </row>
    <row r="44" spans="15:16" x14ac:dyDescent="0.3">
      <c r="O44" s="26" t="s">
        <v>33</v>
      </c>
      <c r="P44" s="25"/>
    </row>
    <row r="45" spans="15:16" x14ac:dyDescent="0.3">
      <c r="O45" s="24" t="s">
        <v>33</v>
      </c>
      <c r="P45" s="25"/>
    </row>
    <row r="46" spans="15:16" x14ac:dyDescent="0.3">
      <c r="O46" s="27" t="s">
        <v>26</v>
      </c>
      <c r="P46" s="28">
        <v>94058.98</v>
      </c>
    </row>
  </sheetData>
  <mergeCells count="2">
    <mergeCell ref="B2:L3"/>
    <mergeCell ref="B23:I2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DFF7-FB5D-4238-90F5-E894FCA844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Yadav</dc:creator>
  <cp:lastModifiedBy>Hitesh Yadav</cp:lastModifiedBy>
  <dcterms:created xsi:type="dcterms:W3CDTF">2026-02-07T22:02:24Z</dcterms:created>
  <dcterms:modified xsi:type="dcterms:W3CDTF">2026-02-18T06:52:31Z</dcterms:modified>
</cp:coreProperties>
</file>